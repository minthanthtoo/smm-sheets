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TzH\4.Township Summary- BE\15.03.2026 Township\"/>
    </mc:Choice>
  </mc:AlternateContent>
  <xr:revisionPtr revIDLastSave="0" documentId="13_ncr:1_{3C9772F4-78A3-4054-816C-5B9CAA897B59}" xr6:coauthVersionLast="47" xr6:coauthVersionMax="47" xr10:uidLastSave="{00000000-0000-0000-0000-000000000000}"/>
  <bookViews>
    <workbookView xWindow="-120" yWindow="-120" windowWidth="29040" windowHeight="15720" tabRatio="881" xr2:uid="{5B2D9E29-95D4-435D-83F3-003BD0C9F4CA}"/>
  </bookViews>
  <sheets>
    <sheet name="4-Township Summary" sheetId="27" r:id="rId1"/>
    <sheet name="4--Township summary" sheetId="15" state="hidden" r:id="rId2"/>
    <sheet name="4-MawLaMyaing" sheetId="16" r:id="rId3"/>
    <sheet name="4-Hpa-An" sheetId="17" r:id="rId4"/>
    <sheet name="4-Paung" sheetId="19" r:id="rId5"/>
    <sheet name="4-Mu Don" sheetId="18" r:id="rId6"/>
    <sheet name="4-ThaHtone" sheetId="20" r:id="rId7"/>
    <sheet name="4-KawKariek" sheetId="21" r:id="rId8"/>
    <sheet name="4-Yaye" sheetId="22" r:id="rId9"/>
    <sheet name="4-Phar Pon" sheetId="23" r:id="rId10"/>
    <sheet name="4-Bagoda-3" sheetId="24" r:id="rId11"/>
    <sheet name="4-Chang Sone" sheetId="25" r:id="rId12"/>
    <sheet name="4-Than Phyu Zayat" sheetId="26" r:id="rId13"/>
    <sheet name="Thein ZatYat" sheetId="28" r:id="rId14"/>
  </sheets>
  <externalReferences>
    <externalReference r:id="rId15"/>
    <externalReference r:id="rId16"/>
  </externalReferences>
  <definedNames>
    <definedName name="a">#REF!</definedName>
    <definedName name="aa" localSheetId="10">#REF!</definedName>
    <definedName name="aa" localSheetId="11">#REF!</definedName>
    <definedName name="aa" localSheetId="3">#REF!</definedName>
    <definedName name="aa" localSheetId="7">#REF!</definedName>
    <definedName name="aa" localSheetId="2">#REF!</definedName>
    <definedName name="aa" localSheetId="5">#REF!</definedName>
    <definedName name="aa" localSheetId="4">#REF!</definedName>
    <definedName name="aa" localSheetId="9">#REF!</definedName>
    <definedName name="aa" localSheetId="6">#REF!</definedName>
    <definedName name="aa" localSheetId="12">#REF!</definedName>
    <definedName name="aa" localSheetId="0">#REF!</definedName>
    <definedName name="aa" localSheetId="1">#REF!</definedName>
    <definedName name="aa" localSheetId="8">#REF!</definedName>
    <definedName name="aa">#REF!</definedName>
    <definedName name="aaa" localSheetId="0">#REF!</definedName>
    <definedName name="aaa" localSheetId="1">#REF!</definedName>
    <definedName name="aaa">#REF!</definedName>
    <definedName name="aaaaa">#REF!</definedName>
    <definedName name="aaaaaaa">#REF!</definedName>
    <definedName name="asd">'[1]Market ( Mar) '!#REF!</definedName>
    <definedName name="atr" localSheetId="0">#REF!</definedName>
    <definedName name="atr" localSheetId="1">#REF!</definedName>
    <definedName name="atr">#REF!</definedName>
    <definedName name="b" localSheetId="0">#REF!</definedName>
    <definedName name="b" localSheetId="1">#REF!</definedName>
    <definedName name="b">#REF!</definedName>
    <definedName name="bb" localSheetId="0">#REF!</definedName>
    <definedName name="bb" localSheetId="1">#REF!</definedName>
    <definedName name="bb">#REF!</definedName>
    <definedName name="Beg_Bal" localSheetId="0">#REF!</definedName>
    <definedName name="Beg_Bal" localSheetId="1">#REF!</definedName>
    <definedName name="Beg_Bal">#REF!</definedName>
    <definedName name="Cash_Cr" localSheetId="0">#REF!</definedName>
    <definedName name="Cash_Cr" localSheetId="1">#REF!</definedName>
    <definedName name="Cash_Cr">#REF!</definedName>
    <definedName name="Cash_Dr" localSheetId="0">#REF!</definedName>
    <definedName name="Cash_Dr" localSheetId="1">#REF!</definedName>
    <definedName name="Cash_Dr">#REF!</definedName>
    <definedName name="cc" localSheetId="0">#REF!</definedName>
    <definedName name="cc" localSheetId="1">#REF!</definedName>
    <definedName name="cc">#REF!</definedName>
    <definedName name="ccc" localSheetId="0">#REF!</definedName>
    <definedName name="ccc" localSheetId="1">#REF!</definedName>
    <definedName name="ccc">#REF!</definedName>
    <definedName name="cft">#REF!</definedName>
    <definedName name="cr" localSheetId="0">#REF!</definedName>
    <definedName name="cr" localSheetId="1">#REF!</definedName>
    <definedName name="cr">#REF!</definedName>
    <definedName name="crs" localSheetId="0">#REF!</definedName>
    <definedName name="crs" localSheetId="1">#REF!</definedName>
    <definedName name="crs">#REF!</definedName>
    <definedName name="cvvvv">#REF!</definedName>
    <definedName name="cwer">#REF!</definedName>
    <definedName name="Data" localSheetId="0">#REF!</definedName>
    <definedName name="Data" localSheetId="1">#REF!</definedName>
    <definedName name="Data">#REF!</definedName>
    <definedName name="dd" localSheetId="0">#REF!</definedName>
    <definedName name="dd" localSheetId="1">#REF!</definedName>
    <definedName name="dd">#REF!</definedName>
    <definedName name="ddd" localSheetId="0">#REF!</definedName>
    <definedName name="ddd" localSheetId="1">#REF!</definedName>
    <definedName name="ddd">#REF!</definedName>
    <definedName name="dddd">#N/A</definedName>
    <definedName name="dr" localSheetId="0">#REF!</definedName>
    <definedName name="dr" localSheetId="1">#REF!</definedName>
    <definedName name="dr">#REF!</definedName>
    <definedName name="drs" localSheetId="0">#REF!</definedName>
    <definedName name="drs" localSheetId="1">#REF!</definedName>
    <definedName name="drs">#REF!</definedName>
    <definedName name="dsfas">#REF!</definedName>
    <definedName name="eeee">#REF!</definedName>
    <definedName name="End_Bal" localSheetId="0">#REF!</definedName>
    <definedName name="End_Bal" localSheetId="1">#REF!</definedName>
    <definedName name="End_Bal">#REF!</definedName>
    <definedName name="Extra_Pay" localSheetId="0">#REF!</definedName>
    <definedName name="Extra_Pay" localSheetId="1">#REF!</definedName>
    <definedName name="Extra_Pay">#REF!</definedName>
    <definedName name="fgf" localSheetId="0">#REF!</definedName>
    <definedName name="fgf" localSheetId="1">#REF!</definedName>
    <definedName name="fgf">#REF!</definedName>
    <definedName name="fgjhj" localSheetId="0">#REF!</definedName>
    <definedName name="fgjhj" localSheetId="1">#REF!</definedName>
    <definedName name="fgjhj">#REF!</definedName>
    <definedName name="fhh">MATCH(0.01,End_Bal,-1)+1</definedName>
    <definedName name="ftyu">#REF!</definedName>
    <definedName name="Full_Print" localSheetId="0">#REF!</definedName>
    <definedName name="Full_Print" localSheetId="1">#REF!</definedName>
    <definedName name="Full_Print">#REF!</definedName>
    <definedName name="fusales4">#REF!</definedName>
    <definedName name="gg">#REF!</definedName>
    <definedName name="gggggg">#REF!</definedName>
    <definedName name="Header_Row" localSheetId="0">ROW(#REF!)</definedName>
    <definedName name="Header_Row" localSheetId="1">ROW(#REF!)</definedName>
    <definedName name="Header_Row">ROW(#REF!)</definedName>
    <definedName name="hjj" localSheetId="0">#REF!</definedName>
    <definedName name="hjj" localSheetId="1">#REF!</definedName>
    <definedName name="hjj">#REF!</definedName>
    <definedName name="hjjj">#REF!</definedName>
    <definedName name="hjkjk" localSheetId="0">#REF!</definedName>
    <definedName name="hjkjk" localSheetId="1">#REF!</definedName>
    <definedName name="hjkjk">#REF!</definedName>
    <definedName name="hmjhj" localSheetId="0">#REF!</definedName>
    <definedName name="hmjhj" localSheetId="1">#REF!</definedName>
    <definedName name="hmjhj">#REF!</definedName>
    <definedName name="ii">#REF!</definedName>
    <definedName name="III">#REF!</definedName>
    <definedName name="Int" localSheetId="0">#REF!</definedName>
    <definedName name="Int" localSheetId="1">#REF!</definedName>
    <definedName name="Int">#REF!</definedName>
    <definedName name="Interest_Rate" localSheetId="0">#REF!</definedName>
    <definedName name="Interest_Rate" localSheetId="1">#REF!</definedName>
    <definedName name="Interest_Rate">#REF!</definedName>
    <definedName name="jbkjkl" localSheetId="0">#REF!</definedName>
    <definedName name="jbkjkl" localSheetId="1">#REF!</definedName>
    <definedName name="jbkjkl">#REF!</definedName>
    <definedName name="Journal_Cr">#REF!</definedName>
    <definedName name="Journal_Dr">#REF!</definedName>
    <definedName name="kdt" localSheetId="0">#REF!</definedName>
    <definedName name="kdt" localSheetId="1">#REF!</definedName>
    <definedName name="kdt">#REF!</definedName>
    <definedName name="khbgfc">Scheduled_Payment+Extra_Payment</definedName>
    <definedName name="kluyufuf">#REF!</definedName>
    <definedName name="Last_Row" localSheetId="10">IF('4-Bagoda-3'!Values_Entered,[0]!Header_Row+'4-Bagoda-3'!Number_of_Payments,[0]!Header_Row)</definedName>
    <definedName name="Last_Row" localSheetId="11">IF('4-Chang Sone'!Values_Entered,[0]!Header_Row+'4-Chang Sone'!Number_of_Payments,[0]!Header_Row)</definedName>
    <definedName name="Last_Row" localSheetId="3">IF('4-Hpa-An'!Values_Entered,[0]!Header_Row+'4-Hpa-An'!Number_of_Payments,[0]!Header_Row)</definedName>
    <definedName name="Last_Row" localSheetId="7">IF('4-KawKariek'!Values_Entered,[0]!Header_Row+'4-KawKariek'!Number_of_Payments,[0]!Header_Row)</definedName>
    <definedName name="Last_Row" localSheetId="2">IF('4-MawLaMyaing'!Values_Entered,Header_Row+'4-MawLaMyaing'!Number_of_Payments,Header_Row)</definedName>
    <definedName name="Last_Row" localSheetId="5">IF('4-Mu Don'!Values_Entered,[0]!Header_Row+'4-Mu Don'!Number_of_Payments,[0]!Header_Row)</definedName>
    <definedName name="Last_Row" localSheetId="4">IF('4-Paung'!Values_Entered,[0]!Header_Row+'4-Paung'!Number_of_Payments,[0]!Header_Row)</definedName>
    <definedName name="Last_Row" localSheetId="9">IF('4-Phar Pon'!Values_Entered,[0]!Header_Row+'4-Phar Pon'!Number_of_Payments,[0]!Header_Row)</definedName>
    <definedName name="Last_Row" localSheetId="6">IF('4-ThaHtone'!Values_Entered,[0]!Header_Row+'4-ThaHtone'!Number_of_Payments,[0]!Header_Row)</definedName>
    <definedName name="Last_Row" localSheetId="12">IF('4-Than Phyu Zayat'!Values_Entered,[0]!Header_Row+'4-Than Phyu Zayat'!Number_of_Payments,[0]!Header_Row)</definedName>
    <definedName name="Last_Row" localSheetId="0">IF('4-Township Summary'!Values_Entered,'4-Township Summary'!Header_Row+'4-Township Summary'!Number_of_Payments,'4-Township Summary'!Header_Row)</definedName>
    <definedName name="Last_Row" localSheetId="1">IF('4--Township summary'!Values_Entered,'4--Township summary'!Header_Row+'4--Township summary'!Number_of_Payments,'4--Township summary'!Header_Row)</definedName>
    <definedName name="Last_Row" localSheetId="8">IF('4-Yaye'!Values_Entered,[0]!Header_Row+'4-Yaye'!Number_of_Payments,[0]!Header_Row)</definedName>
    <definedName name="Last_Row">IF(Values_Entered,Header_Row+Number_of_Payments,Header_Row)</definedName>
    <definedName name="Loan_Amount" localSheetId="10">#REF!</definedName>
    <definedName name="Loan_Amount" localSheetId="11">#REF!</definedName>
    <definedName name="Loan_Amount" localSheetId="3">#REF!</definedName>
    <definedName name="Loan_Amount" localSheetId="7">#REF!</definedName>
    <definedName name="Loan_Amount" localSheetId="2">#REF!</definedName>
    <definedName name="Loan_Amount" localSheetId="5">#REF!</definedName>
    <definedName name="Loan_Amount" localSheetId="4">#REF!</definedName>
    <definedName name="Loan_Amount" localSheetId="9">#REF!</definedName>
    <definedName name="Loan_Amount" localSheetId="6">#REF!</definedName>
    <definedName name="Loan_Amount" localSheetId="12">#REF!</definedName>
    <definedName name="Loan_Amount" localSheetId="0">#REF!</definedName>
    <definedName name="Loan_Amount" localSheetId="1">#REF!</definedName>
    <definedName name="Loan_Amount" localSheetId="8">#REF!</definedName>
    <definedName name="Loan_Amount">#REF!</definedName>
    <definedName name="Loan_Start" localSheetId="0">#REF!</definedName>
    <definedName name="Loan_Start" localSheetId="1">#REF!</definedName>
    <definedName name="Loan_Start">#REF!</definedName>
    <definedName name="Loan_Years" localSheetId="0">#REF!</definedName>
    <definedName name="Loan_Years" localSheetId="1">#REF!</definedName>
    <definedName name="Loan_Years">#REF!</definedName>
    <definedName name="LSO" localSheetId="0">#REF!</definedName>
    <definedName name="LSO" localSheetId="1">#REF!</definedName>
    <definedName name="LSO">#REF!</definedName>
    <definedName name="lsoq" localSheetId="0">#REF!</definedName>
    <definedName name="lsoq" localSheetId="1">#REF!</definedName>
    <definedName name="lsoq">#REF!</definedName>
    <definedName name="lsoq1">#REF!</definedName>
    <definedName name="mms" localSheetId="0">#REF!</definedName>
    <definedName name="mms" localSheetId="1">#REF!</definedName>
    <definedName name="mms">#REF!</definedName>
    <definedName name="neew" localSheetId="0">#REF!</definedName>
    <definedName name="neew" localSheetId="1">#REF!</definedName>
    <definedName name="neew">#REF!</definedName>
    <definedName name="New" localSheetId="0">#REF!</definedName>
    <definedName name="New" localSheetId="1">#REF!</definedName>
    <definedName name="New">#REF!</definedName>
    <definedName name="NOV">#REF!</definedName>
    <definedName name="Num_Pmt_Per_Year" localSheetId="0">#REF!</definedName>
    <definedName name="Num_Pmt_Per_Year" localSheetId="1">#REF!</definedName>
    <definedName name="Num_Pmt_Per_Year">#REF!</definedName>
    <definedName name="Number_of_Payments" localSheetId="10">MATCH(0.01,[0]!End_Bal,-1)+1</definedName>
    <definedName name="Number_of_Payments" localSheetId="11">MATCH(0.01,[0]!End_Bal,-1)+1</definedName>
    <definedName name="Number_of_Payments" localSheetId="3">MATCH(0.01,[0]!End_Bal,-1)+1</definedName>
    <definedName name="Number_of_Payments" localSheetId="7">MATCH(0.01,[0]!End_Bal,-1)+1</definedName>
    <definedName name="Number_of_Payments" localSheetId="2">MATCH(0.01,End_Bal,-1)+1</definedName>
    <definedName name="Number_of_Payments" localSheetId="5">MATCH(0.01,[0]!End_Bal,-1)+1</definedName>
    <definedName name="Number_of_Payments" localSheetId="4">MATCH(0.01,[0]!End_Bal,-1)+1</definedName>
    <definedName name="Number_of_Payments" localSheetId="9">MATCH(0.01,[0]!End_Bal,-1)+1</definedName>
    <definedName name="Number_of_Payments" localSheetId="6">MATCH(0.01,[0]!End_Bal,-1)+1</definedName>
    <definedName name="Number_of_Payments" localSheetId="12">MATCH(0.01,[0]!End_Bal,-1)+1</definedName>
    <definedName name="Number_of_Payments" localSheetId="0">MATCH(0.01,'4-Township Summary'!End_Bal,-1)+1</definedName>
    <definedName name="Number_of_Payments" localSheetId="1">MATCH(0.01,'4--Township summary'!End_Bal,-1)+1</definedName>
    <definedName name="Number_of_Payments" localSheetId="8">MATCH(0.01,[0]!End_Bal,-1)+1</definedName>
    <definedName name="Number_of_Payments">MATCH(0.01,End_Bal,-1)+1</definedName>
    <definedName name="ooo">#REF!</definedName>
    <definedName name="Opening_Cr" localSheetId="10">#REF!</definedName>
    <definedName name="Opening_Cr" localSheetId="11">#REF!</definedName>
    <definedName name="Opening_Cr" localSheetId="3">#REF!</definedName>
    <definedName name="Opening_Cr" localSheetId="7">#REF!</definedName>
    <definedName name="Opening_Cr" localSheetId="2">#REF!</definedName>
    <definedName name="Opening_Cr" localSheetId="5">#REF!</definedName>
    <definedName name="Opening_Cr" localSheetId="4">#REF!</definedName>
    <definedName name="Opening_Cr" localSheetId="9">#REF!</definedName>
    <definedName name="Opening_Cr" localSheetId="6">#REF!</definedName>
    <definedName name="Opening_Cr" localSheetId="12">#REF!</definedName>
    <definedName name="Opening_Cr" localSheetId="0">#REF!</definedName>
    <definedName name="Opening_Cr" localSheetId="1">#REF!</definedName>
    <definedName name="Opening_Cr" localSheetId="8">#REF!</definedName>
    <definedName name="Opening_Cr">#REF!</definedName>
    <definedName name="Opening_Dr" localSheetId="0">#REF!</definedName>
    <definedName name="Opening_Dr" localSheetId="1">#REF!</definedName>
    <definedName name="Opening_Dr">#REF!</definedName>
    <definedName name="Pay_Date" localSheetId="0">#REF!</definedName>
    <definedName name="Pay_Date" localSheetId="1">#REF!</definedName>
    <definedName name="Pay_Date">#REF!</definedName>
    <definedName name="Pay_Num" localSheetId="0">#REF!</definedName>
    <definedName name="Pay_Num" localSheetId="1">#REF!</definedName>
    <definedName name="Pay_Num">#REF!</definedName>
    <definedName name="Payment_Date" localSheetId="10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2">DATE(YEAR(Loan_Start),MONTH(Loan_Start)+Payment_Number,DAY(Loan_Start))</definedName>
    <definedName name="Payment_Date" localSheetId="5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0">DATE(YEAR('4-Township Summary'!Loan_Start),MONTH('4-Township Summary'!Loan_Start)+Payment_Number,DAY('4-Township Summary'!Loan_Start))</definedName>
    <definedName name="Payment_Date" localSheetId="1">DATE(YEAR('4--Township summary'!Loan_Start),MONTH('4--Township summary'!Loan_Start)+Payment_Number,DAY('4--Township summary'!Loan_Start))</definedName>
    <definedName name="Payment_Date" localSheetId="8">DATE(YEAR([0]!Loan_Start),MONTH([0]!Loan_Start)+Payment_Number,DAY([0]!Loan_Start))</definedName>
    <definedName name="Payment_Date">DATE(YEAR(Loan_Start),MONTH(Loan_Start)+Payment_Number,DAY(Loan_Start))</definedName>
    <definedName name="Princ" localSheetId="10">#REF!</definedName>
    <definedName name="Princ" localSheetId="11">#REF!</definedName>
    <definedName name="Princ" localSheetId="3">#REF!</definedName>
    <definedName name="Princ" localSheetId="7">#REF!</definedName>
    <definedName name="Princ" localSheetId="2">#REF!</definedName>
    <definedName name="Princ" localSheetId="5">#REF!</definedName>
    <definedName name="Princ" localSheetId="4">#REF!</definedName>
    <definedName name="Princ" localSheetId="9">#REF!</definedName>
    <definedName name="Princ" localSheetId="6">#REF!</definedName>
    <definedName name="Princ" localSheetId="12">#REF!</definedName>
    <definedName name="Princ" localSheetId="0">#REF!</definedName>
    <definedName name="Princ" localSheetId="1">#REF!</definedName>
    <definedName name="Princ" localSheetId="8">#REF!</definedName>
    <definedName name="Princ">#REF!</definedName>
    <definedName name="princeee">#REF!</definedName>
    <definedName name="_xlnm.Print_Area" localSheetId="0">'4-Township Summary'!$A$1:$CK$41</definedName>
    <definedName name="_xlnm.Print_Area" localSheetId="1">'4--Township summary'!$A$1:$AH$51</definedName>
    <definedName name="Print_Area_Reset" localSheetId="10">OFFSET([0]!Full_Print,0,0,'4-Bagoda-3'!Last_Row)</definedName>
    <definedName name="Print_Area_Reset" localSheetId="11">OFFSET([0]!Full_Print,0,0,'4-Chang Sone'!Last_Row)</definedName>
    <definedName name="Print_Area_Reset" localSheetId="3">OFFSET([0]!Full_Print,0,0,'4-Hpa-An'!Last_Row)</definedName>
    <definedName name="Print_Area_Reset" localSheetId="7">OFFSET([0]!Full_Print,0,0,'4-KawKariek'!Last_Row)</definedName>
    <definedName name="Print_Area_Reset" localSheetId="2">OFFSET(Full_Print,0,0,'4-MawLaMyaing'!Last_Row)</definedName>
    <definedName name="Print_Area_Reset" localSheetId="5">OFFSET([0]!Full_Print,0,0,'4-Mu Don'!Last_Row)</definedName>
    <definedName name="Print_Area_Reset" localSheetId="4">OFFSET([0]!Full_Print,0,0,'4-Paung'!Last_Row)</definedName>
    <definedName name="Print_Area_Reset" localSheetId="9">OFFSET([0]!Full_Print,0,0,'4-Phar Pon'!Last_Row)</definedName>
    <definedName name="Print_Area_Reset" localSheetId="6">OFFSET([0]!Full_Print,0,0,'4-ThaHtone'!Last_Row)</definedName>
    <definedName name="Print_Area_Reset" localSheetId="12">OFFSET([0]!Full_Print,0,0,'4-Than Phyu Zayat'!Last_Row)</definedName>
    <definedName name="Print_Area_Reset" localSheetId="0">OFFSET('4-Township Summary'!Full_Print,0,0,'4-Township Summary'!Last_Row)</definedName>
    <definedName name="Print_Area_Reset" localSheetId="1">OFFSET('4--Township summary'!Full_Print,0,0,'4--Township summary'!Last_Row)</definedName>
    <definedName name="Print_Area_Reset" localSheetId="8">OFFSET([0]!Full_Print,0,0,'4-Yaye'!Last_Row)</definedName>
    <definedName name="Print_Area_Reset">OFFSET(Full_Print,0,0,Last_Row)</definedName>
    <definedName name="qqqqqq">#REF!</definedName>
    <definedName name="Rate">#REF!</definedName>
    <definedName name="rty">#REF!</definedName>
    <definedName name="s" localSheetId="10">#REF!</definedName>
    <definedName name="s" localSheetId="11">#REF!</definedName>
    <definedName name="s" localSheetId="3">#REF!</definedName>
    <definedName name="s" localSheetId="7">#REF!</definedName>
    <definedName name="s" localSheetId="2">#REF!</definedName>
    <definedName name="s" localSheetId="5">#REF!</definedName>
    <definedName name="s" localSheetId="4">#REF!</definedName>
    <definedName name="s" localSheetId="9">#REF!</definedName>
    <definedName name="s" localSheetId="6">#REF!</definedName>
    <definedName name="s" localSheetId="12">#REF!</definedName>
    <definedName name="s" localSheetId="0">#REF!</definedName>
    <definedName name="s" localSheetId="1">#REF!</definedName>
    <definedName name="s" localSheetId="8">#REF!</definedName>
    <definedName name="s">#REF!</definedName>
    <definedName name="Salees">#REF!</definedName>
    <definedName name="sales">#REF!</definedName>
    <definedName name="Sched_Pay" localSheetId="0">#REF!</definedName>
    <definedName name="Sched_Pay" localSheetId="1">#REF!</definedName>
    <definedName name="Sched_Pay">#REF!</definedName>
    <definedName name="Scheduled_Extra_Payments" localSheetId="0">#REF!</definedName>
    <definedName name="Scheduled_Extra_Payments" localSheetId="1">#REF!</definedName>
    <definedName name="Scheduled_Extra_Payments">#REF!</definedName>
    <definedName name="Scheduled_Interest_Rate" localSheetId="0">#REF!</definedName>
    <definedName name="Scheduled_Interest_Rate" localSheetId="1">#REF!</definedName>
    <definedName name="Scheduled_Interest_Rate">#REF!</definedName>
    <definedName name="Scheduled_Monthly_Payment" localSheetId="0">#REF!</definedName>
    <definedName name="Scheduled_Monthly_Payment" localSheetId="1">#REF!</definedName>
    <definedName name="Scheduled_Monthly_Payment">#REF!</definedName>
    <definedName name="smm" localSheetId="0">#REF!</definedName>
    <definedName name="smm" localSheetId="1">#REF!</definedName>
    <definedName name="smm">#REF!</definedName>
    <definedName name="smmm">'[1]Market ( Mar) '!#REF!</definedName>
    <definedName name="tdk" localSheetId="0">#REF!</definedName>
    <definedName name="tdk" localSheetId="1">#REF!</definedName>
    <definedName name="tdk">#REF!</definedName>
    <definedName name="Total_Interest" localSheetId="0">#REF!</definedName>
    <definedName name="Total_Interest" localSheetId="1">#REF!</definedName>
    <definedName name="Total_Interest">#REF!</definedName>
    <definedName name="Total_Pay" localSheetId="0">#REF!</definedName>
    <definedName name="Total_Pay" localSheetId="1">#REF!</definedName>
    <definedName name="Total_Pay">#REF!</definedName>
    <definedName name="Total_Payment" localSheetId="10">Scheduled_Payment+Extra_Payment</definedName>
    <definedName name="Total_Payment" localSheetId="11">Scheduled_Payment+Extra_Payment</definedName>
    <definedName name="Total_Payment" localSheetId="3">Scheduled_Payment+Extra_Payment</definedName>
    <definedName name="Total_Payment" localSheetId="7">Scheduled_Payment+Extra_Payment</definedName>
    <definedName name="Total_Payment" localSheetId="2">Scheduled_Payment+Extra_Payment</definedName>
    <definedName name="Total_Payment" localSheetId="5">Scheduled_Payment+Extra_Payment</definedName>
    <definedName name="Total_Payment" localSheetId="4">Scheduled_Payment+Extra_Payment</definedName>
    <definedName name="Total_Payment" localSheetId="9">Scheduled_Payment+Extra_Payment</definedName>
    <definedName name="Total_Payment" localSheetId="6">Scheduled_Payment+Extra_Payment</definedName>
    <definedName name="Total_Payment" localSheetId="12">Scheduled_Payment+Extra_Payment</definedName>
    <definedName name="Total_Payment" localSheetId="0">Scheduled_Payment+Extra_Payment</definedName>
    <definedName name="Total_Payment" localSheetId="1">Scheduled_Payment+Extra_Payment</definedName>
    <definedName name="Total_Payment" localSheetId="8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>#REF!</definedName>
    <definedName name="Values_Entered" localSheetId="10">IF('4-Bagoda-3'!Loan_Amount*[0]!Interest_Rate*[0]!Loan_Years*[0]!Loan_Start&gt;0,1,0)</definedName>
    <definedName name="Values_Entered" localSheetId="11">IF('4-Chang Sone'!Loan_Amount*[0]!Interest_Rate*[0]!Loan_Years*[0]!Loan_Start&gt;0,1,0)</definedName>
    <definedName name="Values_Entered" localSheetId="3">IF('4-Hpa-An'!Loan_Amount*[0]!Interest_Rate*[0]!Loan_Years*[0]!Loan_Start&gt;0,1,0)</definedName>
    <definedName name="Values_Entered" localSheetId="7">IF('4-KawKariek'!Loan_Amount*[0]!Interest_Rate*[0]!Loan_Years*[0]!Loan_Start&gt;0,1,0)</definedName>
    <definedName name="Values_Entered" localSheetId="2">IF('4-MawLaMyaing'!Loan_Amount*Interest_Rate*Loan_Years*Loan_Start&gt;0,1,0)</definedName>
    <definedName name="Values_Entered" localSheetId="5">IF('4-Mu Don'!Loan_Amount*[0]!Interest_Rate*[0]!Loan_Years*[0]!Loan_Start&gt;0,1,0)</definedName>
    <definedName name="Values_Entered" localSheetId="4">IF('4-Paung'!Loan_Amount*[0]!Interest_Rate*[0]!Loan_Years*[0]!Loan_Start&gt;0,1,0)</definedName>
    <definedName name="Values_Entered" localSheetId="9">IF('4-Phar Pon'!Loan_Amount*[0]!Interest_Rate*[0]!Loan_Years*[0]!Loan_Start&gt;0,1,0)</definedName>
    <definedName name="Values_Entered" localSheetId="6">IF('4-ThaHtone'!Loan_Amount*[0]!Interest_Rate*[0]!Loan_Years*[0]!Loan_Start&gt;0,1,0)</definedName>
    <definedName name="Values_Entered" localSheetId="12">IF('4-Than Phyu Zayat'!Loan_Amount*[0]!Interest_Rate*[0]!Loan_Years*[0]!Loan_Start&gt;0,1,0)</definedName>
    <definedName name="Values_Entered" localSheetId="0">IF('4-Township Summary'!Loan_Amount*'4-Township Summary'!Interest_Rate*'4-Township Summary'!Loan_Years*'4-Township Summary'!Loan_Start&gt;0,1,0)</definedName>
    <definedName name="Values_Entered" localSheetId="1">IF('4--Township summary'!Loan_Amount*'4--Township summary'!Interest_Rate*'4--Township summary'!Loan_Years*'4--Township summary'!Loan_Start&gt;0,1,0)</definedName>
    <definedName name="Values_Entered" localSheetId="8">IF('4-Yaye'!Loan_Amount*[0]!Interest_Rate*[0]!Loan_Years*[0]!Loan_Start&gt;0,1,0)</definedName>
    <definedName name="Values_Entered">IF(Loan_Amount*Interest_Rate*Loan_Years*Loan_Start&gt;0,1,0)</definedName>
    <definedName name="vkhfkgf" localSheetId="10">#REF!</definedName>
    <definedName name="vkhfkgf" localSheetId="11">#REF!</definedName>
    <definedName name="vkhfkgf" localSheetId="3">#REF!</definedName>
    <definedName name="vkhfkgf" localSheetId="7">#REF!</definedName>
    <definedName name="vkhfkgf" localSheetId="2">#REF!</definedName>
    <definedName name="vkhfkgf" localSheetId="5">#REF!</definedName>
    <definedName name="vkhfkgf" localSheetId="4">#REF!</definedName>
    <definedName name="vkhfkgf" localSheetId="9">#REF!</definedName>
    <definedName name="vkhfkgf" localSheetId="6">#REF!</definedName>
    <definedName name="vkhfkgf" localSheetId="12">#REF!</definedName>
    <definedName name="vkhfkgf" localSheetId="0">#REF!</definedName>
    <definedName name="vkhfkgf" localSheetId="1">#REF!</definedName>
    <definedName name="vkhfkgf" localSheetId="8">#REF!</definedName>
    <definedName name="vkhfkgf">#REF!</definedName>
    <definedName name="vvvv">IF([0]!Values_Entered,Header_Row+[0]!Number_of_Payments,Header_Row)</definedName>
    <definedName name="wert">#REF!</definedName>
    <definedName name="xdfrg">#REF!</definedName>
    <definedName name="y">#REF!</definedName>
    <definedName name="yhhg123">IF(Values_Entered,Header_Row+Number_of_Payments,Header_Row)</definedName>
    <definedName name="YMO4">#REF!</definedName>
    <definedName name="YMO5">#REF!</definedName>
    <definedName name="Ymowy">#REF!</definedName>
    <definedName name="yy">#REF!</definedName>
    <definedName name="yyyyy">#REF!</definedName>
    <definedName name="zx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41" i="27" l="1"/>
  <c r="BM41" i="27"/>
  <c r="BM40" i="27"/>
  <c r="BL40" i="27"/>
  <c r="CH32" i="27"/>
  <c r="CG20" i="27"/>
  <c r="CH21" i="27"/>
  <c r="CI21" i="27"/>
  <c r="CH22" i="27"/>
  <c r="CI22" i="27"/>
  <c r="CH23" i="27"/>
  <c r="CI23" i="27"/>
  <c r="CH24" i="27"/>
  <c r="CI24" i="27"/>
  <c r="CH25" i="27"/>
  <c r="CI25" i="27"/>
  <c r="CH26" i="27"/>
  <c r="CI26" i="27"/>
  <c r="CH27" i="27"/>
  <c r="CI27" i="27"/>
  <c r="CH28" i="27"/>
  <c r="CI28" i="27"/>
  <c r="CH29" i="27"/>
  <c r="CI29" i="27"/>
  <c r="CH30" i="27"/>
  <c r="CI30" i="27"/>
  <c r="CH31" i="27"/>
  <c r="CI31" i="27"/>
  <c r="CI20" i="27"/>
  <c r="CH20" i="27"/>
  <c r="CH5" i="27"/>
  <c r="CI5" i="27"/>
  <c r="CH6" i="27"/>
  <c r="CI6" i="27"/>
  <c r="CH7" i="27"/>
  <c r="CI7" i="27"/>
  <c r="CH8" i="27"/>
  <c r="CI8" i="27"/>
  <c r="CH9" i="27"/>
  <c r="CI9" i="27"/>
  <c r="CH10" i="27"/>
  <c r="CI10" i="27"/>
  <c r="CH11" i="27"/>
  <c r="CI11" i="27"/>
  <c r="CH12" i="27"/>
  <c r="CI12" i="27"/>
  <c r="CH13" i="27"/>
  <c r="CI13" i="27"/>
  <c r="CH14" i="27"/>
  <c r="CI14" i="27"/>
  <c r="CH15" i="27"/>
  <c r="CI15" i="27"/>
  <c r="CI4" i="27"/>
  <c r="CH4" i="27"/>
  <c r="BL37" i="27"/>
  <c r="BM32" i="27"/>
  <c r="BL32" i="27"/>
  <c r="BL16" i="27"/>
  <c r="H11" i="28" l="1"/>
  <c r="I63" i="22"/>
  <c r="J63" i="22"/>
  <c r="H63" i="22"/>
  <c r="H65" i="18"/>
  <c r="E65" i="18"/>
  <c r="F65" i="18"/>
  <c r="G65" i="18"/>
  <c r="I65" i="18"/>
  <c r="J65" i="18"/>
  <c r="J94" i="16"/>
  <c r="I94" i="16"/>
  <c r="H94" i="16"/>
  <c r="E88" i="17" l="1"/>
  <c r="BH16" i="27"/>
  <c r="E11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F22" i="28"/>
  <c r="E22" i="28"/>
  <c r="E23" i="28" s="1"/>
  <c r="G21" i="28"/>
  <c r="G20" i="28"/>
  <c r="G19" i="28"/>
  <c r="G18" i="28"/>
  <c r="G17" i="28"/>
  <c r="G16" i="28"/>
  <c r="G15" i="28"/>
  <c r="G14" i="28"/>
  <c r="AQ11" i="28"/>
  <c r="AP11" i="28"/>
  <c r="AO11" i="28"/>
  <c r="AN11" i="28"/>
  <c r="AM11" i="28"/>
  <c r="AL11" i="28"/>
  <c r="AK11" i="28"/>
  <c r="AJ11" i="28"/>
  <c r="AI11" i="28"/>
  <c r="AH11" i="28"/>
  <c r="AG11" i="28"/>
  <c r="AF11" i="28"/>
  <c r="AF23" i="28" s="1"/>
  <c r="AE11" i="28"/>
  <c r="AD11" i="28"/>
  <c r="AC11" i="28"/>
  <c r="AB11" i="28"/>
  <c r="AA11" i="28"/>
  <c r="Z11" i="28"/>
  <c r="Y11" i="28"/>
  <c r="X11" i="28"/>
  <c r="W11" i="28"/>
  <c r="V11" i="28"/>
  <c r="U11" i="28"/>
  <c r="T11" i="28"/>
  <c r="T23" i="28" s="1"/>
  <c r="S11" i="28"/>
  <c r="R11" i="28"/>
  <c r="Q11" i="28"/>
  <c r="P11" i="28"/>
  <c r="O11" i="28"/>
  <c r="N11" i="28"/>
  <c r="M11" i="28"/>
  <c r="L11" i="28"/>
  <c r="K11" i="28"/>
  <c r="J11" i="28"/>
  <c r="I11" i="28"/>
  <c r="I23" i="28" s="1"/>
  <c r="H23" i="28"/>
  <c r="G11" i="28"/>
  <c r="F11" i="28"/>
  <c r="F75" i="20"/>
  <c r="G75" i="20"/>
  <c r="H75" i="20"/>
  <c r="I75" i="20"/>
  <c r="J75" i="20"/>
  <c r="J87" i="20" s="1"/>
  <c r="K75" i="20"/>
  <c r="L75" i="20"/>
  <c r="E75" i="20"/>
  <c r="F88" i="17"/>
  <c r="H88" i="17"/>
  <c r="I88" i="17"/>
  <c r="J88" i="17"/>
  <c r="K88" i="17"/>
  <c r="L88" i="17"/>
  <c r="N88" i="17"/>
  <c r="O88" i="17"/>
  <c r="P88" i="17"/>
  <c r="Q88" i="17"/>
  <c r="Q100" i="17" s="1"/>
  <c r="R88" i="17"/>
  <c r="R100" i="17" s="1"/>
  <c r="E94" i="16"/>
  <c r="AQ58" i="26"/>
  <c r="AP58" i="26"/>
  <c r="AO58" i="26"/>
  <c r="AN58" i="26"/>
  <c r="AM58" i="26"/>
  <c r="AL58" i="26"/>
  <c r="AK58" i="26"/>
  <c r="AJ58" i="26"/>
  <c r="AI58" i="26"/>
  <c r="AH58" i="26"/>
  <c r="AG58" i="26"/>
  <c r="AF58" i="26"/>
  <c r="AE58" i="26"/>
  <c r="AD58" i="26"/>
  <c r="AC58" i="26"/>
  <c r="AB58" i="26"/>
  <c r="AA58" i="26"/>
  <c r="Z58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M58" i="26"/>
  <c r="L58" i="26"/>
  <c r="K58" i="26"/>
  <c r="J58" i="26"/>
  <c r="I58" i="26"/>
  <c r="H58" i="26"/>
  <c r="F58" i="26"/>
  <c r="E58" i="26"/>
  <c r="G57" i="26"/>
  <c r="G56" i="26"/>
  <c r="G55" i="26"/>
  <c r="G54" i="26"/>
  <c r="G53" i="26"/>
  <c r="G52" i="26"/>
  <c r="G51" i="26"/>
  <c r="G50" i="26"/>
  <c r="G58" i="26" s="1"/>
  <c r="AQ47" i="26"/>
  <c r="AP47" i="26"/>
  <c r="AO47" i="26"/>
  <c r="AO59" i="26" s="1"/>
  <c r="AN47" i="26"/>
  <c r="AM47" i="26"/>
  <c r="AL47" i="26"/>
  <c r="AK47" i="26"/>
  <c r="AJ47" i="26"/>
  <c r="AI47" i="26"/>
  <c r="AH47" i="26"/>
  <c r="AG47" i="26"/>
  <c r="AF47" i="26"/>
  <c r="AE47" i="26"/>
  <c r="AD47" i="26"/>
  <c r="AC47" i="26"/>
  <c r="AC59" i="26" s="1"/>
  <c r="AB47" i="26"/>
  <c r="AA47" i="26"/>
  <c r="Z47" i="26"/>
  <c r="X47" i="26"/>
  <c r="W47" i="26"/>
  <c r="V47" i="26"/>
  <c r="U47" i="26"/>
  <c r="T47" i="26"/>
  <c r="R47" i="26"/>
  <c r="Q47" i="26"/>
  <c r="Q59" i="26" s="1"/>
  <c r="P47" i="26"/>
  <c r="O47" i="26"/>
  <c r="N47" i="26"/>
  <c r="L47" i="26"/>
  <c r="K47" i="26"/>
  <c r="J47" i="26"/>
  <c r="I47" i="26"/>
  <c r="H47" i="26"/>
  <c r="F47" i="26"/>
  <c r="E47" i="26"/>
  <c r="S47" i="26"/>
  <c r="Y47" i="26"/>
  <c r="M47" i="26"/>
  <c r="G47" i="26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X50" i="25"/>
  <c r="W50" i="25"/>
  <c r="U50" i="25"/>
  <c r="T50" i="25"/>
  <c r="R50" i="25"/>
  <c r="Q50" i="25"/>
  <c r="O50" i="25"/>
  <c r="N50" i="25"/>
  <c r="L50" i="25"/>
  <c r="K50" i="25"/>
  <c r="I50" i="25"/>
  <c r="H50" i="25"/>
  <c r="F50" i="25"/>
  <c r="E50" i="25"/>
  <c r="AQ49" i="25"/>
  <c r="AP49" i="25"/>
  <c r="AO49" i="25"/>
  <c r="M50" i="25"/>
  <c r="AP47" i="25"/>
  <c r="AO47" i="25"/>
  <c r="AQ47" i="25"/>
  <c r="AP46" i="25"/>
  <c r="AO46" i="25"/>
  <c r="AQ46" i="25"/>
  <c r="AP45" i="25"/>
  <c r="AO45" i="25"/>
  <c r="P50" i="25"/>
  <c r="AQ45" i="25"/>
  <c r="AP44" i="25"/>
  <c r="AO44" i="25"/>
  <c r="Y50" i="25"/>
  <c r="V50" i="25"/>
  <c r="S50" i="25"/>
  <c r="J50" i="25"/>
  <c r="G50" i="25"/>
  <c r="AQ125" i="24"/>
  <c r="AP125" i="24"/>
  <c r="AO125" i="24"/>
  <c r="AN125" i="24"/>
  <c r="AM125" i="24"/>
  <c r="AL125" i="24"/>
  <c r="AK125" i="24"/>
  <c r="AJ125" i="24"/>
  <c r="AI125" i="24"/>
  <c r="AH125" i="24"/>
  <c r="AG125" i="24"/>
  <c r="AF125" i="24"/>
  <c r="AE125" i="24"/>
  <c r="AD125" i="24"/>
  <c r="AC125" i="24"/>
  <c r="AB125" i="24"/>
  <c r="AA125" i="24"/>
  <c r="Z125" i="24"/>
  <c r="Y125" i="24"/>
  <c r="X125" i="24"/>
  <c r="W125" i="24"/>
  <c r="V125" i="24"/>
  <c r="U125" i="24"/>
  <c r="T125" i="24"/>
  <c r="S125" i="24"/>
  <c r="R125" i="24"/>
  <c r="Q125" i="24"/>
  <c r="P125" i="24"/>
  <c r="O125" i="24"/>
  <c r="N125" i="24"/>
  <c r="M125" i="24"/>
  <c r="L125" i="24"/>
  <c r="K125" i="24"/>
  <c r="J125" i="24"/>
  <c r="I125" i="24"/>
  <c r="H125" i="24"/>
  <c r="F125" i="24"/>
  <c r="E125" i="24"/>
  <c r="G123" i="24"/>
  <c r="G122" i="24"/>
  <c r="G121" i="24"/>
  <c r="G120" i="24"/>
  <c r="AQ114" i="24"/>
  <c r="AP114" i="24"/>
  <c r="AO114" i="24"/>
  <c r="AN114" i="24"/>
  <c r="AM114" i="24"/>
  <c r="AL114" i="24"/>
  <c r="AK114" i="24"/>
  <c r="AJ114" i="24"/>
  <c r="AI114" i="24"/>
  <c r="AH114" i="24"/>
  <c r="AG114" i="24"/>
  <c r="AF114" i="24"/>
  <c r="AE114" i="24"/>
  <c r="AD114" i="24"/>
  <c r="AC114" i="24"/>
  <c r="AB114" i="24"/>
  <c r="AA114" i="24"/>
  <c r="Z114" i="24"/>
  <c r="X114" i="24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K114" i="24"/>
  <c r="I114" i="24"/>
  <c r="H114" i="24"/>
  <c r="F114" i="24"/>
  <c r="E114" i="24"/>
  <c r="Y113" i="24"/>
  <c r="Y112" i="24"/>
  <c r="Y111" i="24"/>
  <c r="Y110" i="24"/>
  <c r="G110" i="24"/>
  <c r="Y109" i="24"/>
  <c r="G109" i="24"/>
  <c r="Y108" i="24"/>
  <c r="G108" i="24"/>
  <c r="Y107" i="24"/>
  <c r="G107" i="24"/>
  <c r="Y106" i="24"/>
  <c r="G106" i="24"/>
  <c r="Y105" i="24"/>
  <c r="G105" i="24"/>
  <c r="Y104" i="24"/>
  <c r="G104" i="24"/>
  <c r="J11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AQ136" i="23"/>
  <c r="AP136" i="23"/>
  <c r="AO136" i="23"/>
  <c r="AN136" i="23"/>
  <c r="AM136" i="23"/>
  <c r="AL136" i="23"/>
  <c r="AK136" i="23"/>
  <c r="AJ136" i="23"/>
  <c r="AI136" i="23"/>
  <c r="AH136" i="23"/>
  <c r="AG136" i="23"/>
  <c r="AF136" i="23"/>
  <c r="AE136" i="23"/>
  <c r="AD136" i="23"/>
  <c r="AC136" i="23"/>
  <c r="AB136" i="23"/>
  <c r="AA136" i="23"/>
  <c r="Z136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F136" i="23"/>
  <c r="E136" i="23"/>
  <c r="G134" i="23"/>
  <c r="G133" i="23"/>
  <c r="G132" i="23"/>
  <c r="G131" i="23"/>
  <c r="AQ125" i="23"/>
  <c r="AP125" i="23"/>
  <c r="AO125" i="23"/>
  <c r="AN125" i="23"/>
  <c r="AN137" i="23" s="1"/>
  <c r="AM125" i="23"/>
  <c r="AL125" i="23"/>
  <c r="AK125" i="23"/>
  <c r="AJ125" i="23"/>
  <c r="AI125" i="23"/>
  <c r="AH125" i="23"/>
  <c r="AG125" i="23"/>
  <c r="AF125" i="23"/>
  <c r="AE125" i="23"/>
  <c r="AD125" i="23"/>
  <c r="AC125" i="23"/>
  <c r="AB125" i="23"/>
  <c r="AB137" i="23" s="1"/>
  <c r="AA125" i="23"/>
  <c r="Z125" i="23"/>
  <c r="X125" i="23"/>
  <c r="X137" i="23" s="1"/>
  <c r="W125" i="23"/>
  <c r="V125" i="23"/>
  <c r="U125" i="23"/>
  <c r="T125" i="23"/>
  <c r="R125" i="23"/>
  <c r="Q125" i="23"/>
  <c r="O125" i="23"/>
  <c r="O137" i="23" s="1"/>
  <c r="N125" i="23"/>
  <c r="L125" i="23"/>
  <c r="K125" i="23"/>
  <c r="J125" i="23"/>
  <c r="I125" i="23"/>
  <c r="H125" i="23"/>
  <c r="H137" i="23" s="1"/>
  <c r="F125" i="23"/>
  <c r="E125" i="23"/>
  <c r="M124" i="23"/>
  <c r="M123" i="23"/>
  <c r="M122" i="23"/>
  <c r="M121" i="23"/>
  <c r="G121" i="23"/>
  <c r="M120" i="23"/>
  <c r="G120" i="23"/>
  <c r="M119" i="23"/>
  <c r="G119" i="23"/>
  <c r="M118" i="23"/>
  <c r="G118" i="23"/>
  <c r="M117" i="23"/>
  <c r="G117" i="23"/>
  <c r="M116" i="23"/>
  <c r="G116" i="23"/>
  <c r="Y125" i="23"/>
  <c r="S125" i="23"/>
  <c r="P125" i="23"/>
  <c r="P137" i="23" s="1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AQ63" i="22"/>
  <c r="AP63" i="22"/>
  <c r="AO63" i="22"/>
  <c r="AN63" i="22"/>
  <c r="AM63" i="22"/>
  <c r="AL63" i="22"/>
  <c r="AK63" i="22"/>
  <c r="AJ63" i="22"/>
  <c r="AI63" i="22"/>
  <c r="AH63" i="22"/>
  <c r="AG63" i="22"/>
  <c r="AF63" i="22"/>
  <c r="AE63" i="22"/>
  <c r="AD63" i="22"/>
  <c r="AC63" i="22"/>
  <c r="AB63" i="22"/>
  <c r="AA63" i="22"/>
  <c r="Z63" i="22"/>
  <c r="X63" i="22"/>
  <c r="W63" i="22"/>
  <c r="U63" i="22"/>
  <c r="T63" i="22"/>
  <c r="R63" i="22"/>
  <c r="Q63" i="22"/>
  <c r="O63" i="22"/>
  <c r="N63" i="22"/>
  <c r="L63" i="22"/>
  <c r="K63" i="22"/>
  <c r="F63" i="22"/>
  <c r="E63" i="22"/>
  <c r="S63" i="22"/>
  <c r="M63" i="22"/>
  <c r="Y63" i="22"/>
  <c r="V63" i="22"/>
  <c r="P63" i="22"/>
  <c r="G63" i="22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F126" i="21"/>
  <c r="E126" i="21"/>
  <c r="G124" i="21"/>
  <c r="G123" i="21"/>
  <c r="G122" i="21"/>
  <c r="G121" i="21"/>
  <c r="AQ115" i="21"/>
  <c r="AP115" i="21"/>
  <c r="AO115" i="21"/>
  <c r="AO127" i="21" s="1"/>
  <c r="AN115" i="21"/>
  <c r="AM115" i="21"/>
  <c r="AL115" i="21"/>
  <c r="AL127" i="21" s="1"/>
  <c r="AK115" i="21"/>
  <c r="AK127" i="21" s="1"/>
  <c r="AJ115" i="21"/>
  <c r="AI115" i="21"/>
  <c r="AH115" i="21"/>
  <c r="AG115" i="21"/>
  <c r="AF115" i="21"/>
  <c r="AE115" i="21"/>
  <c r="AD115" i="21"/>
  <c r="AC115" i="21"/>
  <c r="AC127" i="21" s="1"/>
  <c r="AB115" i="21"/>
  <c r="AA115" i="21"/>
  <c r="Z115" i="21"/>
  <c r="Z127" i="21" s="1"/>
  <c r="Y115" i="21"/>
  <c r="Y127" i="21" s="1"/>
  <c r="X115" i="21"/>
  <c r="W115" i="21"/>
  <c r="V115" i="21"/>
  <c r="U115" i="21"/>
  <c r="T115" i="21"/>
  <c r="S115" i="21"/>
  <c r="R115" i="21"/>
  <c r="Q115" i="21"/>
  <c r="Q127" i="21" s="1"/>
  <c r="P115" i="21"/>
  <c r="O115" i="21"/>
  <c r="N115" i="21"/>
  <c r="N127" i="21" s="1"/>
  <c r="M115" i="21"/>
  <c r="M127" i="21" s="1"/>
  <c r="L115" i="21"/>
  <c r="K115" i="21"/>
  <c r="J115" i="21"/>
  <c r="I115" i="21"/>
  <c r="H115" i="21"/>
  <c r="F115" i="21"/>
  <c r="E115" i="21"/>
  <c r="G115" i="21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X86" i="20"/>
  <c r="W86" i="20"/>
  <c r="U86" i="20"/>
  <c r="T86" i="20"/>
  <c r="R86" i="20"/>
  <c r="Q86" i="20"/>
  <c r="O86" i="20"/>
  <c r="N86" i="20"/>
  <c r="L86" i="20"/>
  <c r="K86" i="20"/>
  <c r="J86" i="20"/>
  <c r="I86" i="20"/>
  <c r="H86" i="20"/>
  <c r="F86" i="20"/>
  <c r="E86" i="20"/>
  <c r="M84" i="20"/>
  <c r="G84" i="20"/>
  <c r="M83" i="20"/>
  <c r="G83" i="20"/>
  <c r="M82" i="20"/>
  <c r="G82" i="20"/>
  <c r="S86" i="20"/>
  <c r="V86" i="20"/>
  <c r="Y86" i="20"/>
  <c r="P86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X75" i="20"/>
  <c r="W75" i="20"/>
  <c r="U75" i="20"/>
  <c r="U87" i="20" s="1"/>
  <c r="T75" i="20"/>
  <c r="R75" i="20"/>
  <c r="Q75" i="20"/>
  <c r="O75" i="20"/>
  <c r="N75" i="20"/>
  <c r="Y75" i="20"/>
  <c r="S75" i="20"/>
  <c r="V75" i="20"/>
  <c r="P75" i="20"/>
  <c r="P87" i="20" s="1"/>
  <c r="M75" i="20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F76" i="18"/>
  <c r="F77" i="18" s="1"/>
  <c r="E76" i="18"/>
  <c r="E77" i="18" s="1"/>
  <c r="Y75" i="18"/>
  <c r="Y74" i="18"/>
  <c r="G74" i="18"/>
  <c r="Y73" i="18"/>
  <c r="G73" i="18"/>
  <c r="Y72" i="18"/>
  <c r="G72" i="18"/>
  <c r="Y71" i="18"/>
  <c r="G71" i="18"/>
  <c r="Y70" i="18"/>
  <c r="Y69" i="18"/>
  <c r="Y68" i="18"/>
  <c r="Y67" i="18"/>
  <c r="AQ65" i="18"/>
  <c r="AP65" i="18"/>
  <c r="AO65" i="18"/>
  <c r="AO77" i="18" s="1"/>
  <c r="AN65" i="18"/>
  <c r="AM65" i="18"/>
  <c r="AL65" i="18"/>
  <c r="AK65" i="18"/>
  <c r="AJ65" i="18"/>
  <c r="AI65" i="18"/>
  <c r="AH65" i="18"/>
  <c r="AG65" i="18"/>
  <c r="AF65" i="18"/>
  <c r="AF77" i="18" s="1"/>
  <c r="AE65" i="18"/>
  <c r="AD65" i="18"/>
  <c r="AC65" i="18"/>
  <c r="AB65" i="18"/>
  <c r="AA65" i="18"/>
  <c r="Z65" i="18"/>
  <c r="X65" i="18"/>
  <c r="X77" i="18" s="1"/>
  <c r="W65" i="18"/>
  <c r="W77" i="18" s="1"/>
  <c r="U65" i="18"/>
  <c r="T65" i="18"/>
  <c r="R65" i="18"/>
  <c r="R77" i="18" s="1"/>
  <c r="Q65" i="18"/>
  <c r="Q77" i="18" s="1"/>
  <c r="O65" i="18"/>
  <c r="N65" i="18"/>
  <c r="L65" i="18"/>
  <c r="K65" i="18"/>
  <c r="M65" i="18"/>
  <c r="M77" i="18" s="1"/>
  <c r="Y65" i="18"/>
  <c r="V65" i="18"/>
  <c r="S65" i="18"/>
  <c r="P65" i="18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F77" i="19"/>
  <c r="E77" i="19"/>
  <c r="Y76" i="19"/>
  <c r="Y75" i="19"/>
  <c r="G75" i="19"/>
  <c r="Y74" i="19"/>
  <c r="G74" i="19"/>
  <c r="Y73" i="19"/>
  <c r="G73" i="19"/>
  <c r="Y72" i="19"/>
  <c r="G72" i="19"/>
  <c r="Y71" i="19"/>
  <c r="Y70" i="19"/>
  <c r="Y69" i="19"/>
  <c r="Y68" i="19"/>
  <c r="AQ66" i="19"/>
  <c r="AP66" i="19"/>
  <c r="AO66" i="19"/>
  <c r="AO78" i="19" s="1"/>
  <c r="AN66" i="19"/>
  <c r="AM66" i="19"/>
  <c r="AL66" i="19"/>
  <c r="AL78" i="19" s="1"/>
  <c r="AK66" i="19"/>
  <c r="AJ66" i="19"/>
  <c r="AI66" i="19"/>
  <c r="AI78" i="19" s="1"/>
  <c r="AH66" i="19"/>
  <c r="AG66" i="19"/>
  <c r="AF66" i="19"/>
  <c r="AE66" i="19"/>
  <c r="AD66" i="19"/>
  <c r="AC66" i="19"/>
  <c r="AB66" i="19"/>
  <c r="AA66" i="19"/>
  <c r="Z66" i="19"/>
  <c r="Z78" i="19" s="1"/>
  <c r="X66" i="19"/>
  <c r="W66" i="19"/>
  <c r="W78" i="19" s="1"/>
  <c r="U66" i="19"/>
  <c r="T66" i="19"/>
  <c r="R66" i="19"/>
  <c r="Q66" i="19"/>
  <c r="Q78" i="19" s="1"/>
  <c r="O66" i="19"/>
  <c r="N66" i="19"/>
  <c r="L66" i="19"/>
  <c r="K66" i="19"/>
  <c r="I66" i="19"/>
  <c r="H66" i="19"/>
  <c r="F66" i="19"/>
  <c r="E66" i="19"/>
  <c r="V66" i="19"/>
  <c r="V78" i="19" s="1"/>
  <c r="P66" i="19"/>
  <c r="Y66" i="19"/>
  <c r="S66" i="19"/>
  <c r="M66" i="19"/>
  <c r="J66" i="19"/>
  <c r="G66" i="19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F99" i="17"/>
  <c r="E99" i="17"/>
  <c r="Y98" i="17"/>
  <c r="Y97" i="17"/>
  <c r="G97" i="17"/>
  <c r="Y96" i="17"/>
  <c r="G96" i="17"/>
  <c r="Y95" i="17"/>
  <c r="G95" i="17"/>
  <c r="Y94" i="17"/>
  <c r="G94" i="17"/>
  <c r="Y93" i="17"/>
  <c r="Y92" i="17"/>
  <c r="Y91" i="17"/>
  <c r="Y90" i="17"/>
  <c r="AQ88" i="17"/>
  <c r="AP88" i="17"/>
  <c r="AO88" i="17"/>
  <c r="AN88" i="17"/>
  <c r="AM88" i="17"/>
  <c r="AL88" i="17"/>
  <c r="AL100" i="17" s="1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Z100" i="17" s="1"/>
  <c r="X88" i="17"/>
  <c r="W88" i="17"/>
  <c r="U88" i="17"/>
  <c r="T88" i="17"/>
  <c r="V88" i="17"/>
  <c r="Y88" i="17"/>
  <c r="S88" i="17"/>
  <c r="M72" i="17"/>
  <c r="M88" i="17" s="1"/>
  <c r="G72" i="17"/>
  <c r="G88" i="17" s="1"/>
  <c r="AQ103" i="16"/>
  <c r="AP103" i="16"/>
  <c r="AO103" i="16"/>
  <c r="AN103" i="16"/>
  <c r="AM103" i="16"/>
  <c r="AL103" i="16"/>
  <c r="AK103" i="16"/>
  <c r="AJ103" i="16"/>
  <c r="AI103" i="16"/>
  <c r="AH103" i="16"/>
  <c r="AG103" i="16"/>
  <c r="AF103" i="16"/>
  <c r="AE103" i="16"/>
  <c r="AD103" i="16"/>
  <c r="AC103" i="16"/>
  <c r="AB103" i="16"/>
  <c r="AA103" i="16"/>
  <c r="Z103" i="16"/>
  <c r="X103" i="16"/>
  <c r="W103" i="16"/>
  <c r="U103" i="16"/>
  <c r="T103" i="16"/>
  <c r="R103" i="16"/>
  <c r="Q103" i="16"/>
  <c r="P103" i="16"/>
  <c r="O103" i="16"/>
  <c r="N103" i="16"/>
  <c r="M103" i="16"/>
  <c r="L103" i="16"/>
  <c r="K103" i="16"/>
  <c r="J103" i="16"/>
  <c r="J104" i="16" s="1"/>
  <c r="I103" i="16"/>
  <c r="H103" i="16"/>
  <c r="F103" i="16"/>
  <c r="E103" i="16"/>
  <c r="Y102" i="16"/>
  <c r="V102" i="16"/>
  <c r="S102" i="16"/>
  <c r="G102" i="16"/>
  <c r="Y101" i="16"/>
  <c r="V101" i="16"/>
  <c r="S101" i="16"/>
  <c r="G101" i="16"/>
  <c r="Y100" i="16"/>
  <c r="V100" i="16"/>
  <c r="V99" i="16"/>
  <c r="Y98" i="16"/>
  <c r="V98" i="16"/>
  <c r="Y97" i="16"/>
  <c r="V97" i="16"/>
  <c r="AQ94" i="16"/>
  <c r="AP94" i="16"/>
  <c r="AO94" i="16"/>
  <c r="AN94" i="16"/>
  <c r="AM94" i="16"/>
  <c r="AL94" i="16"/>
  <c r="AL104" i="16" s="1"/>
  <c r="AK94" i="16"/>
  <c r="AJ94" i="16"/>
  <c r="AI94" i="16"/>
  <c r="AI104" i="16" s="1"/>
  <c r="AH94" i="16"/>
  <c r="AG94" i="16"/>
  <c r="AF94" i="16"/>
  <c r="AF104" i="16" s="1"/>
  <c r="AE94" i="16"/>
  <c r="AD94" i="16"/>
  <c r="AC94" i="16"/>
  <c r="AB94" i="16"/>
  <c r="AA94" i="16"/>
  <c r="Z94" i="16"/>
  <c r="X94" i="16"/>
  <c r="W94" i="16"/>
  <c r="U94" i="16"/>
  <c r="T94" i="16"/>
  <c r="R94" i="16"/>
  <c r="Q94" i="16"/>
  <c r="O94" i="16"/>
  <c r="N94" i="16"/>
  <c r="M94" i="16"/>
  <c r="L94" i="16"/>
  <c r="L104" i="16" s="1"/>
  <c r="K94" i="16"/>
  <c r="I104" i="16"/>
  <c r="G94" i="16"/>
  <c r="F94" i="16"/>
  <c r="Y94" i="16"/>
  <c r="V94" i="16"/>
  <c r="S94" i="16"/>
  <c r="P94" i="16"/>
  <c r="E78" i="19" l="1"/>
  <c r="F78" i="19"/>
  <c r="N23" i="28"/>
  <c r="Z23" i="28"/>
  <c r="AO87" i="20"/>
  <c r="AI59" i="26"/>
  <c r="H127" i="21"/>
  <c r="T127" i="21"/>
  <c r="AF127" i="21"/>
  <c r="P23" i="28"/>
  <c r="AB23" i="28"/>
  <c r="AN23" i="28"/>
  <c r="F87" i="20"/>
  <c r="Q23" i="28"/>
  <c r="AC23" i="28"/>
  <c r="AO23" i="28"/>
  <c r="AI23" i="28"/>
  <c r="L23" i="28"/>
  <c r="AL23" i="28"/>
  <c r="J78" i="19"/>
  <c r="N78" i="19"/>
  <c r="G126" i="21"/>
  <c r="G127" i="21" s="1"/>
  <c r="X126" i="24"/>
  <c r="K59" i="26"/>
  <c r="K23" i="28"/>
  <c r="M23" i="28"/>
  <c r="Y23" i="28"/>
  <c r="AK23" i="28"/>
  <c r="W100" i="17"/>
  <c r="G99" i="17"/>
  <c r="G100" i="17" s="1"/>
  <c r="M78" i="19"/>
  <c r="AE78" i="19"/>
  <c r="AQ78" i="19"/>
  <c r="Z126" i="24"/>
  <c r="AL126" i="24"/>
  <c r="F100" i="17"/>
  <c r="AF137" i="23"/>
  <c r="S78" i="19"/>
  <c r="AF78" i="19"/>
  <c r="V137" i="23"/>
  <c r="AI137" i="23"/>
  <c r="N59" i="26"/>
  <c r="E100" i="17"/>
  <c r="W23" i="28"/>
  <c r="AC77" i="18"/>
  <c r="AK77" i="18"/>
  <c r="V103" i="16"/>
  <c r="V104" i="16" s="1"/>
  <c r="AE100" i="17"/>
  <c r="AQ100" i="17"/>
  <c r="AF100" i="17"/>
  <c r="W87" i="20"/>
  <c r="J126" i="24"/>
  <c r="M126" i="24"/>
  <c r="L59" i="26"/>
  <c r="P104" i="16"/>
  <c r="T100" i="17"/>
  <c r="U77" i="18"/>
  <c r="AI77" i="18"/>
  <c r="F137" i="23"/>
  <c r="Y114" i="24"/>
  <c r="Y126" i="24" s="1"/>
  <c r="G86" i="20"/>
  <c r="E127" i="21"/>
  <c r="F23" i="28"/>
  <c r="R23" i="28"/>
  <c r="S127" i="21"/>
  <c r="AQ127" i="21"/>
  <c r="S59" i="26"/>
  <c r="AF59" i="26"/>
  <c r="S100" i="17"/>
  <c r="AB77" i="18"/>
  <c r="AN77" i="18"/>
  <c r="L137" i="23"/>
  <c r="E126" i="24"/>
  <c r="S126" i="24"/>
  <c r="G125" i="24"/>
  <c r="T59" i="26"/>
  <c r="S23" i="28"/>
  <c r="AE23" i="28"/>
  <c r="AQ23" i="28"/>
  <c r="M100" i="17"/>
  <c r="R78" i="19"/>
  <c r="AE127" i="21"/>
  <c r="AE126" i="24"/>
  <c r="AQ126" i="24"/>
  <c r="R59" i="26"/>
  <c r="U78" i="19"/>
  <c r="AE87" i="20"/>
  <c r="AQ87" i="20"/>
  <c r="S137" i="23"/>
  <c r="N137" i="23"/>
  <c r="F126" i="24"/>
  <c r="G22" i="28"/>
  <c r="G23" i="28" s="1"/>
  <c r="AH126" i="24"/>
  <c r="H59" i="26"/>
  <c r="K104" i="16"/>
  <c r="X78" i="19"/>
  <c r="AK78" i="19"/>
  <c r="AE77" i="18"/>
  <c r="AQ77" i="18"/>
  <c r="K127" i="21"/>
  <c r="AI127" i="21"/>
  <c r="AE137" i="23"/>
  <c r="AQ137" i="23"/>
  <c r="AI126" i="24"/>
  <c r="J23" i="28"/>
  <c r="V23" i="28"/>
  <c r="AH23" i="28"/>
  <c r="S103" i="16"/>
  <c r="S104" i="16" s="1"/>
  <c r="M125" i="23"/>
  <c r="M137" i="23" s="1"/>
  <c r="N87" i="20"/>
  <c r="AH87" i="20"/>
  <c r="Y87" i="20"/>
  <c r="M86" i="20"/>
  <c r="S77" i="18"/>
  <c r="K77" i="18"/>
  <c r="H100" i="17"/>
  <c r="P100" i="17"/>
  <c r="X100" i="17"/>
  <c r="AO100" i="17"/>
  <c r="Y103" i="16"/>
  <c r="Y104" i="16" s="1"/>
  <c r="Z104" i="16"/>
  <c r="G103" i="16"/>
  <c r="E104" i="16"/>
  <c r="F104" i="16"/>
  <c r="Y99" i="17"/>
  <c r="Y100" i="17" s="1"/>
  <c r="Z87" i="20"/>
  <c r="AL87" i="20"/>
  <c r="R137" i="23"/>
  <c r="G136" i="23"/>
  <c r="I126" i="24"/>
  <c r="V126" i="24"/>
  <c r="I59" i="26"/>
  <c r="W59" i="26"/>
  <c r="N100" i="17"/>
  <c r="M104" i="16"/>
  <c r="Q137" i="23"/>
  <c r="H126" i="24"/>
  <c r="N104" i="16"/>
  <c r="AQ104" i="16"/>
  <c r="AH100" i="17"/>
  <c r="K78" i="19"/>
  <c r="AB78" i="19"/>
  <c r="AN78" i="19"/>
  <c r="V77" i="18"/>
  <c r="Y76" i="18"/>
  <c r="Y77" i="18" s="1"/>
  <c r="I87" i="20"/>
  <c r="T137" i="23"/>
  <c r="K126" i="24"/>
  <c r="W126" i="24"/>
  <c r="J59" i="26"/>
  <c r="AK59" i="26"/>
  <c r="G77" i="19"/>
  <c r="G78" i="19" s="1"/>
  <c r="AO104" i="16"/>
  <c r="H78" i="19"/>
  <c r="P77" i="18"/>
  <c r="X87" i="20"/>
  <c r="V59" i="26"/>
  <c r="J100" i="17"/>
  <c r="AC87" i="20"/>
  <c r="O104" i="16"/>
  <c r="V100" i="17"/>
  <c r="U100" i="17"/>
  <c r="AI100" i="17"/>
  <c r="AC78" i="19"/>
  <c r="T77" i="18"/>
  <c r="AH77" i="18"/>
  <c r="K87" i="20"/>
  <c r="AN87" i="20"/>
  <c r="P127" i="21"/>
  <c r="AB127" i="21"/>
  <c r="AN127" i="21"/>
  <c r="E137" i="23"/>
  <c r="AH137" i="23"/>
  <c r="AK126" i="24"/>
  <c r="Z59" i="26"/>
  <c r="AL59" i="26"/>
  <c r="AH104" i="16"/>
  <c r="G125" i="23"/>
  <c r="G137" i="23" s="1"/>
  <c r="N126" i="24"/>
  <c r="AB59" i="26"/>
  <c r="AN59" i="26"/>
  <c r="G76" i="18"/>
  <c r="G77" i="18" s="1"/>
  <c r="W137" i="23"/>
  <c r="F127" i="21"/>
  <c r="AK137" i="23"/>
  <c r="AN126" i="24"/>
  <c r="AK100" i="17"/>
  <c r="H77" i="18"/>
  <c r="Z77" i="18"/>
  <c r="AL77" i="18"/>
  <c r="V87" i="20"/>
  <c r="Q87" i="20"/>
  <c r="AF87" i="20"/>
  <c r="J137" i="23"/>
  <c r="Z137" i="23"/>
  <c r="AL137" i="23"/>
  <c r="G114" i="24"/>
  <c r="G126" i="24" s="1"/>
  <c r="P126" i="24"/>
  <c r="AC126" i="24"/>
  <c r="AO126" i="24"/>
  <c r="M59" i="26"/>
  <c r="P59" i="26"/>
  <c r="Y77" i="19"/>
  <c r="Y78" i="19" s="1"/>
  <c r="AB126" i="24"/>
  <c r="G104" i="16"/>
  <c r="H104" i="16"/>
  <c r="X104" i="16"/>
  <c r="AK104" i="16"/>
  <c r="K100" i="17"/>
  <c r="AB100" i="17"/>
  <c r="AN100" i="17"/>
  <c r="P78" i="19"/>
  <c r="T78" i="19"/>
  <c r="Q126" i="24"/>
  <c r="Y59" i="26"/>
  <c r="AE59" i="26"/>
  <c r="AQ59" i="26"/>
  <c r="G87" i="20"/>
  <c r="J127" i="21"/>
  <c r="V127" i="21"/>
  <c r="AH127" i="21"/>
  <c r="AC137" i="23"/>
  <c r="AO137" i="23"/>
  <c r="AF126" i="24"/>
  <c r="AB104" i="16"/>
  <c r="AN104" i="16"/>
  <c r="AC100" i="17"/>
  <c r="J77" i="18"/>
  <c r="N77" i="18"/>
  <c r="Y137" i="23"/>
  <c r="T126" i="24"/>
  <c r="AH59" i="26"/>
  <c r="G59" i="26"/>
  <c r="E59" i="26"/>
  <c r="F59" i="26"/>
  <c r="AO50" i="25"/>
  <c r="AP50" i="25"/>
  <c r="AQ44" i="25"/>
  <c r="AQ50" i="25" s="1"/>
  <c r="K137" i="23"/>
  <c r="W127" i="21"/>
  <c r="O87" i="20"/>
  <c r="AI87" i="20"/>
  <c r="E87" i="20"/>
  <c r="AK87" i="20"/>
  <c r="H87" i="20"/>
  <c r="AB87" i="20"/>
  <c r="T87" i="20"/>
  <c r="L87" i="20"/>
  <c r="M87" i="20"/>
  <c r="S87" i="20"/>
  <c r="AH78" i="19"/>
  <c r="W104" i="16"/>
  <c r="T104" i="16"/>
  <c r="U104" i="16"/>
  <c r="Q104" i="16"/>
  <c r="R104" i="16"/>
  <c r="AC104" i="16"/>
  <c r="AE104" i="16"/>
  <c r="BI32" i="27" l="1"/>
  <c r="BI38" i="27" s="1"/>
  <c r="BJ32" i="27"/>
  <c r="BK32" i="27"/>
  <c r="BK38" i="27" s="1"/>
  <c r="BL38" i="27"/>
  <c r="BM38" i="27"/>
  <c r="BN32" i="27"/>
  <c r="BN38" i="27" s="1"/>
  <c r="BO32" i="27"/>
  <c r="BO38" i="27" s="1"/>
  <c r="BP32" i="27"/>
  <c r="BP38" i="27" s="1"/>
  <c r="BQ32" i="27"/>
  <c r="BR32" i="27"/>
  <c r="BS32" i="27"/>
  <c r="BT32" i="27"/>
  <c r="BT38" i="27" s="1"/>
  <c r="BU32" i="27"/>
  <c r="BU38" i="27" s="1"/>
  <c r="BV32" i="27"/>
  <c r="BV38" i="27" s="1"/>
  <c r="BW32" i="27"/>
  <c r="BW38" i="27" s="1"/>
  <c r="BX32" i="27"/>
  <c r="BX38" i="27" s="1"/>
  <c r="BY32" i="27"/>
  <c r="BY38" i="27" s="1"/>
  <c r="BZ32" i="27"/>
  <c r="CA32" i="27"/>
  <c r="CB32" i="27"/>
  <c r="CB38" i="27" s="1"/>
  <c r="CC32" i="27"/>
  <c r="CC38" i="27" s="1"/>
  <c r="CD32" i="27"/>
  <c r="CD38" i="27" s="1"/>
  <c r="CE32" i="27"/>
  <c r="CE38" i="27" s="1"/>
  <c r="BH32" i="27"/>
  <c r="BH38" i="27" s="1"/>
  <c r="BI16" i="27"/>
  <c r="BJ16" i="27"/>
  <c r="BJ37" i="27" s="1"/>
  <c r="BK16" i="27"/>
  <c r="BK37" i="27" s="1"/>
  <c r="BM16" i="27"/>
  <c r="BN16" i="27"/>
  <c r="BN37" i="27" s="1"/>
  <c r="BO16" i="27"/>
  <c r="BO37" i="27" s="1"/>
  <c r="BP16" i="27"/>
  <c r="BP37" i="27" s="1"/>
  <c r="BQ16" i="27"/>
  <c r="BR16" i="27"/>
  <c r="BS16" i="27"/>
  <c r="BT16" i="27"/>
  <c r="BT37" i="27" s="1"/>
  <c r="BU16" i="27"/>
  <c r="BV16" i="27"/>
  <c r="BW16" i="27"/>
  <c r="BX16" i="27"/>
  <c r="BX37" i="27" s="1"/>
  <c r="BY16" i="27"/>
  <c r="BZ16" i="27"/>
  <c r="CA16" i="27"/>
  <c r="CB16" i="27"/>
  <c r="CB37" i="27" s="1"/>
  <c r="CC16" i="27"/>
  <c r="CD16" i="27"/>
  <c r="CE16" i="27"/>
  <c r="CE37" i="27" s="1"/>
  <c r="CG21" i="27"/>
  <c r="CG22" i="27"/>
  <c r="CG23" i="27"/>
  <c r="CG24" i="27"/>
  <c r="CG25" i="27"/>
  <c r="CG26" i="27"/>
  <c r="CG27" i="27"/>
  <c r="CG28" i="27"/>
  <c r="CG29" i="27"/>
  <c r="CG30" i="27"/>
  <c r="CG31" i="27"/>
  <c r="CF21" i="27"/>
  <c r="CF22" i="27"/>
  <c r="CF23" i="27"/>
  <c r="CF24" i="27"/>
  <c r="CF25" i="27"/>
  <c r="CF26" i="27"/>
  <c r="CF27" i="27"/>
  <c r="CF28" i="27"/>
  <c r="CF29" i="27"/>
  <c r="CF30" i="27"/>
  <c r="CF31" i="27"/>
  <c r="CF20" i="27"/>
  <c r="CG5" i="27"/>
  <c r="CG6" i="27"/>
  <c r="CG7" i="27"/>
  <c r="CG8" i="27"/>
  <c r="CG9" i="27"/>
  <c r="CG10" i="27"/>
  <c r="CG11" i="27"/>
  <c r="CG12" i="27"/>
  <c r="CG13" i="27"/>
  <c r="CG14" i="27"/>
  <c r="CG15" i="27"/>
  <c r="CF5" i="27"/>
  <c r="CG4" i="27"/>
  <c r="CF6" i="27"/>
  <c r="CF7" i="27"/>
  <c r="CF8" i="27"/>
  <c r="CF9" i="27"/>
  <c r="CF10" i="27"/>
  <c r="CF11" i="27"/>
  <c r="CF12" i="27"/>
  <c r="CF13" i="27"/>
  <c r="CF14" i="27"/>
  <c r="CF15" i="27"/>
  <c r="CF4" i="27"/>
  <c r="BV37" i="27"/>
  <c r="BU37" i="27"/>
  <c r="AM45" i="20"/>
  <c r="AN45" i="20"/>
  <c r="AL45" i="20"/>
  <c r="G44" i="20"/>
  <c r="M44" i="20"/>
  <c r="S44" i="20"/>
  <c r="V44" i="20"/>
  <c r="Y44" i="20"/>
  <c r="AL56" i="16"/>
  <c r="AN56" i="16"/>
  <c r="AM56" i="16"/>
  <c r="AZ16" i="27"/>
  <c r="AJ53" i="17"/>
  <c r="AK53" i="17"/>
  <c r="AI53" i="17"/>
  <c r="AJ56" i="16"/>
  <c r="AK56" i="16"/>
  <c r="AI56" i="16"/>
  <c r="AF34" i="22"/>
  <c r="AF58" i="21"/>
  <c r="AG45" i="20"/>
  <c r="AH45" i="20"/>
  <c r="AI45" i="20"/>
  <c r="AJ45" i="20"/>
  <c r="AK45" i="20"/>
  <c r="AF45" i="20"/>
  <c r="AG35" i="18"/>
  <c r="AH35" i="18"/>
  <c r="AF35" i="18"/>
  <c r="AG53" i="17"/>
  <c r="AH53" i="17"/>
  <c r="AF53" i="17"/>
  <c r="AG56" i="16"/>
  <c r="AH56" i="16"/>
  <c r="AF56" i="16"/>
  <c r="BM37" i="27" l="1"/>
  <c r="CD37" i="27"/>
  <c r="BW37" i="27"/>
  <c r="BK41" i="27"/>
  <c r="CH38" i="27"/>
  <c r="CI32" i="27"/>
  <c r="CI38" i="27" s="1"/>
  <c r="CI16" i="27"/>
  <c r="BS37" i="27"/>
  <c r="BS38" i="27"/>
  <c r="CA37" i="27"/>
  <c r="BQ37" i="27"/>
  <c r="BZ37" i="27"/>
  <c r="CA38" i="27"/>
  <c r="BK39" i="27"/>
  <c r="BK40" i="27" s="1"/>
  <c r="BR37" i="27"/>
  <c r="BI37" i="27"/>
  <c r="BI39" i="27" s="1"/>
  <c r="BI40" i="27" s="1"/>
  <c r="CG16" i="27"/>
  <c r="CH16" i="27"/>
  <c r="CG32" i="27"/>
  <c r="CG38" i="27" s="1"/>
  <c r="CF32" i="27"/>
  <c r="CF38" i="27" s="1"/>
  <c r="CF16" i="27"/>
  <c r="BU39" i="27"/>
  <c r="BU40" i="27" s="1"/>
  <c r="BM39" i="27"/>
  <c r="BZ38" i="27"/>
  <c r="BJ38" i="27"/>
  <c r="BY37" i="27"/>
  <c r="BQ38" i="27"/>
  <c r="BV39" i="27"/>
  <c r="BV40" i="27" s="1"/>
  <c r="BN39" i="27"/>
  <c r="BN41" i="27" s="1"/>
  <c r="CD39" i="27"/>
  <c r="CD40" i="27" s="1"/>
  <c r="BR38" i="27"/>
  <c r="CC37" i="27"/>
  <c r="BP39" i="27"/>
  <c r="BP40" i="27" s="1"/>
  <c r="BH37" i="27"/>
  <c r="BH39" i="27" s="1"/>
  <c r="BH40" i="27" s="1"/>
  <c r="BL39" i="27"/>
  <c r="BT39" i="27"/>
  <c r="BT41" i="27" s="1"/>
  <c r="CB39" i="27"/>
  <c r="CB41" i="27" s="1"/>
  <c r="BO39" i="27"/>
  <c r="BO41" i="27" s="1"/>
  <c r="BW39" i="27"/>
  <c r="BW41" i="27" s="1"/>
  <c r="CE39" i="27"/>
  <c r="CE40" i="27" s="1"/>
  <c r="BX39" i="27"/>
  <c r="BX40" i="27" s="1"/>
  <c r="BY39" i="27"/>
  <c r="BY41" i="27" s="1"/>
  <c r="BD4" i="27"/>
  <c r="BF4" i="27" s="1"/>
  <c r="AV16" i="27"/>
  <c r="AV32" i="27"/>
  <c r="AW16" i="27"/>
  <c r="AC58" i="21"/>
  <c r="AC24" i="25"/>
  <c r="W24" i="25"/>
  <c r="AD45" i="20"/>
  <c r="AE45" i="20"/>
  <c r="AC45" i="20"/>
  <c r="AD56" i="16"/>
  <c r="AE56" i="16"/>
  <c r="AC56" i="16"/>
  <c r="AT32" i="27"/>
  <c r="AT38" i="27" s="1"/>
  <c r="AT16" i="27"/>
  <c r="BI41" i="27" l="1"/>
  <c r="BS39" i="27"/>
  <c r="BS41" i="27" s="1"/>
  <c r="BR39" i="27"/>
  <c r="CI37" i="27"/>
  <c r="CI39" i="27" s="1"/>
  <c r="CI41" i="27" s="1"/>
  <c r="CH37" i="27"/>
  <c r="CH39" i="27" s="1"/>
  <c r="CH41" i="27" s="1"/>
  <c r="BZ39" i="27"/>
  <c r="BZ40" i="27" s="1"/>
  <c r="BX41" i="27"/>
  <c r="BO40" i="27"/>
  <c r="CD41" i="27"/>
  <c r="BW40" i="27"/>
  <c r="BJ39" i="27"/>
  <c r="BJ40" i="27" s="1"/>
  <c r="BQ39" i="27"/>
  <c r="BQ41" i="27" s="1"/>
  <c r="BV41" i="27"/>
  <c r="BT40" i="27"/>
  <c r="BH41" i="27"/>
  <c r="BS40" i="27"/>
  <c r="BP41" i="27"/>
  <c r="CB40" i="27"/>
  <c r="BN40" i="27"/>
  <c r="BY40" i="27"/>
  <c r="BR41" i="27"/>
  <c r="BU41" i="27"/>
  <c r="CC39" i="27"/>
  <c r="CC41" i="27" s="1"/>
  <c r="CE41" i="27"/>
  <c r="CA39" i="27"/>
  <c r="CA41" i="27" s="1"/>
  <c r="BR40" i="27"/>
  <c r="CF37" i="27"/>
  <c r="CG37" i="27"/>
  <c r="AV37" i="27"/>
  <c r="AA24" i="25"/>
  <c r="Z34" i="22"/>
  <c r="Z40" i="19"/>
  <c r="Z35" i="18"/>
  <c r="AB35" i="18"/>
  <c r="AA35" i="18"/>
  <c r="AA56" i="16"/>
  <c r="AB56" i="16"/>
  <c r="Z56" i="16"/>
  <c r="Z56" i="20"/>
  <c r="AA45" i="20"/>
  <c r="AB45" i="20"/>
  <c r="Z45" i="20"/>
  <c r="AU16" i="27"/>
  <c r="AU32" i="27"/>
  <c r="AU38" i="27" s="1"/>
  <c r="BJ41" i="27" l="1"/>
  <c r="BZ41" i="27"/>
  <c r="CI40" i="27"/>
  <c r="CH40" i="27"/>
  <c r="BQ40" i="27"/>
  <c r="CC40" i="27"/>
  <c r="CA40" i="27"/>
  <c r="Z57" i="20"/>
  <c r="CG39" i="27"/>
  <c r="CG41" i="27" s="1"/>
  <c r="CF39" i="27"/>
  <c r="CF41" i="27" s="1"/>
  <c r="AT37" i="27"/>
  <c r="Y20" i="26"/>
  <c r="Y22" i="26"/>
  <c r="Y19" i="26"/>
  <c r="Y19" i="25"/>
  <c r="Y20" i="25"/>
  <c r="Y21" i="25"/>
  <c r="Y23" i="25"/>
  <c r="Y18" i="25"/>
  <c r="Y36" i="24"/>
  <c r="Y37" i="24"/>
  <c r="Y38" i="24"/>
  <c r="Y39" i="24"/>
  <c r="Y40" i="24"/>
  <c r="Y41" i="24"/>
  <c r="Y42" i="24"/>
  <c r="Y43" i="24"/>
  <c r="Y44" i="24"/>
  <c r="Y45" i="24"/>
  <c r="Y46" i="24"/>
  <c r="Y47" i="24"/>
  <c r="Y48" i="24"/>
  <c r="Y49" i="24"/>
  <c r="Y50" i="24"/>
  <c r="Y51" i="24"/>
  <c r="Y52" i="24"/>
  <c r="Y53" i="24"/>
  <c r="Y54" i="24"/>
  <c r="G35" i="24"/>
  <c r="Y35" i="24"/>
  <c r="Y56" i="23"/>
  <c r="Y29" i="22"/>
  <c r="Y30" i="22"/>
  <c r="Y31" i="22"/>
  <c r="Y32" i="22"/>
  <c r="Y33" i="22"/>
  <c r="Y28" i="22"/>
  <c r="X45" i="20"/>
  <c r="W45" i="20"/>
  <c r="Y41" i="20"/>
  <c r="Y51" i="20"/>
  <c r="Y48" i="20"/>
  <c r="Y49" i="20"/>
  <c r="Y50" i="20"/>
  <c r="Y47" i="20"/>
  <c r="Y36" i="20"/>
  <c r="Y37" i="20"/>
  <c r="Y39" i="20"/>
  <c r="Y40" i="20"/>
  <c r="Y42" i="20"/>
  <c r="Y43" i="20"/>
  <c r="Y35" i="20"/>
  <c r="Y38" i="18"/>
  <c r="Y39" i="18"/>
  <c r="Y40" i="18"/>
  <c r="Y41" i="18"/>
  <c r="Y42" i="18"/>
  <c r="Y43" i="18"/>
  <c r="Y44" i="18"/>
  <c r="Y45" i="18"/>
  <c r="Y37" i="18"/>
  <c r="Y29" i="18"/>
  <c r="Y30" i="18"/>
  <c r="Y31" i="18"/>
  <c r="Y32" i="18"/>
  <c r="Y33" i="18"/>
  <c r="Y34" i="18"/>
  <c r="Y28" i="18"/>
  <c r="Y43" i="19"/>
  <c r="Y44" i="19"/>
  <c r="Y45" i="19"/>
  <c r="Y46" i="19"/>
  <c r="Y47" i="19"/>
  <c r="Y48" i="19"/>
  <c r="Y49" i="19"/>
  <c r="Y50" i="19"/>
  <c r="Y42" i="19"/>
  <c r="Y34" i="19"/>
  <c r="Y35" i="19"/>
  <c r="Y36" i="19"/>
  <c r="Y37" i="19"/>
  <c r="Y38" i="19"/>
  <c r="Y39" i="19"/>
  <c r="Y33" i="19"/>
  <c r="X53" i="17"/>
  <c r="W53" i="17"/>
  <c r="Y45" i="17"/>
  <c r="Y46" i="17"/>
  <c r="J46" i="17"/>
  <c r="S46" i="17"/>
  <c r="J45" i="17"/>
  <c r="S45" i="17"/>
  <c r="Y56" i="17"/>
  <c r="Y57" i="17"/>
  <c r="Y58" i="17"/>
  <c r="Y59" i="17"/>
  <c r="Y60" i="17"/>
  <c r="Y61" i="17"/>
  <c r="Y62" i="17"/>
  <c r="Y63" i="17"/>
  <c r="Y55" i="17"/>
  <c r="Y41" i="17"/>
  <c r="Y42" i="17"/>
  <c r="Y43" i="17"/>
  <c r="Y44" i="17"/>
  <c r="Y47" i="17"/>
  <c r="Y48" i="17"/>
  <c r="Y49" i="17"/>
  <c r="Y50" i="17"/>
  <c r="Y51" i="17"/>
  <c r="Y52" i="17"/>
  <c r="Y40" i="17"/>
  <c r="W56" i="16"/>
  <c r="X56" i="16"/>
  <c r="Y54" i="16"/>
  <c r="Y64" i="16"/>
  <c r="Y59" i="16"/>
  <c r="Y60" i="16"/>
  <c r="Y62" i="16"/>
  <c r="Y63" i="16"/>
  <c r="Y40" i="16"/>
  <c r="Y41" i="16"/>
  <c r="Y42" i="16"/>
  <c r="Y43" i="16"/>
  <c r="Y44" i="16"/>
  <c r="Y45" i="16"/>
  <c r="Y46" i="16"/>
  <c r="Y47" i="16"/>
  <c r="Y49" i="16"/>
  <c r="Y50" i="16"/>
  <c r="Y51" i="16"/>
  <c r="Y53" i="16"/>
  <c r="Y39" i="16"/>
  <c r="CF40" i="27" l="1"/>
  <c r="CG40" i="27"/>
  <c r="Y45" i="20"/>
  <c r="Y53" i="17"/>
  <c r="Y56" i="16"/>
  <c r="V29" i="22"/>
  <c r="V30" i="22"/>
  <c r="V31" i="22"/>
  <c r="V32" i="22"/>
  <c r="V33" i="22"/>
  <c r="V28" i="22"/>
  <c r="U45" i="20"/>
  <c r="T45" i="20"/>
  <c r="V36" i="20"/>
  <c r="V37" i="20"/>
  <c r="V39" i="20"/>
  <c r="V40" i="20"/>
  <c r="V42" i="20"/>
  <c r="V43" i="20"/>
  <c r="V35" i="20"/>
  <c r="V48" i="20"/>
  <c r="V49" i="20"/>
  <c r="V50" i="20"/>
  <c r="V51" i="20"/>
  <c r="V47" i="20"/>
  <c r="V34" i="19"/>
  <c r="V35" i="19"/>
  <c r="V36" i="19"/>
  <c r="V37" i="19"/>
  <c r="V38" i="19"/>
  <c r="V39" i="19"/>
  <c r="V33" i="19"/>
  <c r="V29" i="18"/>
  <c r="V30" i="18"/>
  <c r="V31" i="18"/>
  <c r="V32" i="18"/>
  <c r="V33" i="18"/>
  <c r="V34" i="18"/>
  <c r="V28" i="18"/>
  <c r="V40" i="16"/>
  <c r="V41" i="16"/>
  <c r="V42" i="16"/>
  <c r="V43" i="16"/>
  <c r="V44" i="16"/>
  <c r="V45" i="16"/>
  <c r="V46" i="16"/>
  <c r="V47" i="16"/>
  <c r="V49" i="16"/>
  <c r="V50" i="16"/>
  <c r="V51" i="16"/>
  <c r="V53" i="16"/>
  <c r="V54" i="16"/>
  <c r="V39" i="16"/>
  <c r="V59" i="16"/>
  <c r="V60" i="16"/>
  <c r="V61" i="16"/>
  <c r="V62" i="16"/>
  <c r="V63" i="16"/>
  <c r="V64" i="16"/>
  <c r="V58" i="16"/>
  <c r="U53" i="17"/>
  <c r="T53" i="17"/>
  <c r="V51" i="17"/>
  <c r="V52" i="17"/>
  <c r="G51" i="17"/>
  <c r="V41" i="17"/>
  <c r="V42" i="17"/>
  <c r="V43" i="17"/>
  <c r="V44" i="17"/>
  <c r="V47" i="17"/>
  <c r="V48" i="17"/>
  <c r="V49" i="17"/>
  <c r="V50" i="17"/>
  <c r="V40" i="17"/>
  <c r="V19" i="25"/>
  <c r="V20" i="25"/>
  <c r="V21" i="25"/>
  <c r="V23" i="25"/>
  <c r="V18" i="25"/>
  <c r="AL15" i="23"/>
  <c r="AL14" i="23"/>
  <c r="AN11" i="23"/>
  <c r="AN12" i="23"/>
  <c r="AN13" i="23"/>
  <c r="AN14" i="23"/>
  <c r="AN15" i="23"/>
  <c r="AN16" i="23"/>
  <c r="AN17" i="23"/>
  <c r="AN18" i="23"/>
  <c r="AL10" i="23"/>
  <c r="AN10" i="23"/>
  <c r="AI21" i="20"/>
  <c r="AK21" i="20"/>
  <c r="AK20" i="20"/>
  <c r="AI21" i="16"/>
  <c r="AK22" i="16"/>
  <c r="AK23" i="16"/>
  <c r="AK24" i="16"/>
  <c r="AK25" i="16"/>
  <c r="AK26" i="16"/>
  <c r="AK27" i="16"/>
  <c r="AK21" i="16"/>
  <c r="AF21" i="20"/>
  <c r="AF18" i="20"/>
  <c r="AH19" i="20"/>
  <c r="AH20" i="20"/>
  <c r="AH21" i="20"/>
  <c r="AH22" i="20"/>
  <c r="AH23" i="20"/>
  <c r="AH24" i="20"/>
  <c r="AH25" i="20"/>
  <c r="AH26" i="20"/>
  <c r="AH18" i="20"/>
  <c r="AE19" i="20"/>
  <c r="AE20" i="20"/>
  <c r="AE21" i="20"/>
  <c r="AE22" i="20"/>
  <c r="AE23" i="20"/>
  <c r="AE24" i="20"/>
  <c r="AE25" i="20"/>
  <c r="AE26" i="20"/>
  <c r="AE18" i="20"/>
  <c r="AC21" i="16"/>
  <c r="AE22" i="16"/>
  <c r="AE23" i="16"/>
  <c r="AE24" i="16"/>
  <c r="AE25" i="16"/>
  <c r="AE26" i="16"/>
  <c r="AE27" i="16"/>
  <c r="AE21" i="16"/>
  <c r="Z21" i="19"/>
  <c r="Z20" i="19"/>
  <c r="AB21" i="19"/>
  <c r="AB22" i="19"/>
  <c r="AB23" i="19"/>
  <c r="AB20" i="19"/>
  <c r="Z24" i="16"/>
  <c r="AB25" i="16"/>
  <c r="AB26" i="16"/>
  <c r="AB27" i="16"/>
  <c r="AB24" i="16"/>
  <c r="Z19" i="17"/>
  <c r="Z28" i="17" s="1"/>
  <c r="Z29" i="17" s="1"/>
  <c r="AB20" i="17"/>
  <c r="AB21" i="17"/>
  <c r="AB22" i="17"/>
  <c r="AB23" i="17"/>
  <c r="AB24" i="17"/>
  <c r="AB25" i="17"/>
  <c r="AB26" i="17"/>
  <c r="AB27" i="17"/>
  <c r="AB19" i="17"/>
  <c r="Y23" i="17"/>
  <c r="Y24" i="17"/>
  <c r="Y25" i="17"/>
  <c r="Y26" i="17"/>
  <c r="Y27" i="17"/>
  <c r="Y22" i="17"/>
  <c r="Y18" i="19"/>
  <c r="W15" i="19"/>
  <c r="W24" i="19" s="1"/>
  <c r="Y15" i="19"/>
  <c r="T22" i="17"/>
  <c r="V20" i="17"/>
  <c r="V21" i="17"/>
  <c r="V22" i="17"/>
  <c r="V23" i="17"/>
  <c r="V24" i="17"/>
  <c r="V25" i="17"/>
  <c r="V26" i="17"/>
  <c r="V27" i="17"/>
  <c r="T19" i="17"/>
  <c r="V19" i="17"/>
  <c r="T21" i="16"/>
  <c r="V22" i="16"/>
  <c r="V23" i="16"/>
  <c r="V24" i="16"/>
  <c r="V25" i="16"/>
  <c r="V26" i="16"/>
  <c r="V27" i="16"/>
  <c r="V21" i="16"/>
  <c r="Q17" i="22"/>
  <c r="S17" i="22"/>
  <c r="Q14" i="18"/>
  <c r="Q13" i="18"/>
  <c r="S11" i="18"/>
  <c r="S12" i="18"/>
  <c r="S13" i="18"/>
  <c r="S14" i="18"/>
  <c r="S15" i="18"/>
  <c r="S16" i="18"/>
  <c r="S17" i="18"/>
  <c r="S18" i="18"/>
  <c r="S10" i="18"/>
  <c r="Q21" i="16"/>
  <c r="S22" i="16"/>
  <c r="S23" i="16"/>
  <c r="S24" i="16"/>
  <c r="S25" i="16"/>
  <c r="S26" i="16"/>
  <c r="S27" i="16"/>
  <c r="S21" i="16"/>
  <c r="N27" i="16"/>
  <c r="P22" i="16"/>
  <c r="P23" i="16"/>
  <c r="P24" i="16"/>
  <c r="P25" i="16"/>
  <c r="P26" i="16"/>
  <c r="P27" i="16"/>
  <c r="P21" i="16"/>
  <c r="N15" i="22"/>
  <c r="N14" i="22"/>
  <c r="P11" i="22"/>
  <c r="P12" i="22"/>
  <c r="P13" i="22"/>
  <c r="P14" i="22"/>
  <c r="P15" i="22"/>
  <c r="P16" i="22"/>
  <c r="P17" i="22"/>
  <c r="P18" i="22"/>
  <c r="P19" i="22"/>
  <c r="P10" i="22"/>
  <c r="P18" i="20"/>
  <c r="K24" i="17"/>
  <c r="K28" i="17" s="1"/>
  <c r="K29" i="17" s="1"/>
  <c r="M24" i="17"/>
  <c r="M28" i="17" s="1"/>
  <c r="M21" i="16"/>
  <c r="M22" i="16"/>
  <c r="M23" i="16"/>
  <c r="M24" i="16"/>
  <c r="M25" i="16"/>
  <c r="M26" i="16"/>
  <c r="M27" i="16"/>
  <c r="M20" i="16"/>
  <c r="K19" i="20"/>
  <c r="K18" i="20"/>
  <c r="M19" i="20"/>
  <c r="M20" i="20"/>
  <c r="M21" i="20"/>
  <c r="M22" i="20"/>
  <c r="M23" i="20"/>
  <c r="M24" i="20"/>
  <c r="M25" i="20"/>
  <c r="M26" i="20"/>
  <c r="M18" i="20"/>
  <c r="H23" i="20"/>
  <c r="H22" i="20"/>
  <c r="J19" i="20"/>
  <c r="J20" i="20"/>
  <c r="J21" i="20"/>
  <c r="J22" i="20"/>
  <c r="J23" i="20"/>
  <c r="J24" i="20"/>
  <c r="J25" i="20"/>
  <c r="J26" i="20"/>
  <c r="J18" i="20"/>
  <c r="H24" i="16"/>
  <c r="J22" i="16"/>
  <c r="J23" i="16"/>
  <c r="J24" i="16"/>
  <c r="J25" i="16"/>
  <c r="J26" i="16"/>
  <c r="J27" i="16"/>
  <c r="J21" i="16"/>
  <c r="J11" i="18"/>
  <c r="J12" i="18"/>
  <c r="J13" i="18"/>
  <c r="J14" i="18"/>
  <c r="J15" i="18"/>
  <c r="J16" i="18"/>
  <c r="J17" i="18"/>
  <c r="J18" i="18"/>
  <c r="J10" i="18"/>
  <c r="E27" i="16"/>
  <c r="E23" i="16"/>
  <c r="G20" i="17"/>
  <c r="G21" i="17"/>
  <c r="G22" i="17"/>
  <c r="G23" i="17"/>
  <c r="G24" i="17"/>
  <c r="G25" i="17"/>
  <c r="G26" i="17"/>
  <c r="G27" i="17"/>
  <c r="G19" i="17"/>
  <c r="E22" i="17"/>
  <c r="E28" i="17" s="1"/>
  <c r="E29" i="17" s="1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A24" i="19"/>
  <c r="X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F24" i="19"/>
  <c r="E24" i="19"/>
  <c r="G22" i="19"/>
  <c r="G21" i="19"/>
  <c r="G20" i="19"/>
  <c r="G19" i="19"/>
  <c r="S20" i="17"/>
  <c r="S21" i="17"/>
  <c r="S22" i="17"/>
  <c r="S23" i="17"/>
  <c r="S24" i="17"/>
  <c r="S25" i="17"/>
  <c r="S26" i="17"/>
  <c r="S27" i="17"/>
  <c r="S19" i="17"/>
  <c r="AQ28" i="17"/>
  <c r="AP28" i="17"/>
  <c r="AO28" i="17"/>
  <c r="AN28" i="17"/>
  <c r="AN29" i="17" s="1"/>
  <c r="AM28" i="17"/>
  <c r="AL28" i="17"/>
  <c r="AL29" i="17" s="1"/>
  <c r="AK28" i="17"/>
  <c r="AK29" i="17" s="1"/>
  <c r="AJ28" i="17"/>
  <c r="AI28" i="17"/>
  <c r="AI29" i="17" s="1"/>
  <c r="AH28" i="17"/>
  <c r="AH29" i="17" s="1"/>
  <c r="AG28" i="17"/>
  <c r="AF28" i="17"/>
  <c r="AF29" i="17" s="1"/>
  <c r="AE28" i="17"/>
  <c r="AD28" i="17"/>
  <c r="AC28" i="17"/>
  <c r="AC29" i="17" s="1"/>
  <c r="AA28" i="17"/>
  <c r="X28" i="17"/>
  <c r="W28" i="17"/>
  <c r="W29" i="17" s="1"/>
  <c r="U28" i="17"/>
  <c r="R28" i="17"/>
  <c r="Q28" i="17"/>
  <c r="Q29" i="17" s="1"/>
  <c r="P28" i="17"/>
  <c r="O28" i="17"/>
  <c r="N28" i="17"/>
  <c r="N29" i="17" s="1"/>
  <c r="L28" i="17"/>
  <c r="J28" i="17"/>
  <c r="J29" i="17" s="1"/>
  <c r="I28" i="17"/>
  <c r="H28" i="17"/>
  <c r="H29" i="17" s="1"/>
  <c r="F28" i="17"/>
  <c r="F29" i="17" s="1"/>
  <c r="G39" i="17"/>
  <c r="M39" i="17"/>
  <c r="M40" i="17"/>
  <c r="P40" i="17"/>
  <c r="S40" i="17"/>
  <c r="J41" i="17"/>
  <c r="M41" i="17"/>
  <c r="P41" i="17"/>
  <c r="S41" i="17"/>
  <c r="E22" i="16"/>
  <c r="G22" i="16"/>
  <c r="G23" i="16"/>
  <c r="G24" i="16"/>
  <c r="G25" i="16"/>
  <c r="G26" i="16"/>
  <c r="G27" i="16"/>
  <c r="G21" i="16"/>
  <c r="AH6" i="24"/>
  <c r="Y24" i="19" l="1"/>
  <c r="V45" i="20"/>
  <c r="Z24" i="19"/>
  <c r="Y28" i="17"/>
  <c r="AB24" i="19"/>
  <c r="G24" i="19"/>
  <c r="V56" i="16"/>
  <c r="V28" i="17"/>
  <c r="V53" i="17"/>
  <c r="S28" i="17"/>
  <c r="T28" i="17"/>
  <c r="T29" i="17" s="1"/>
  <c r="AB28" i="17"/>
  <c r="G28" i="17"/>
  <c r="G10" i="16"/>
  <c r="G9" i="16"/>
  <c r="G19" i="25" l="1"/>
  <c r="G20" i="25"/>
  <c r="G21" i="25"/>
  <c r="J34" i="19"/>
  <c r="G34" i="19"/>
  <c r="G39" i="20" l="1"/>
  <c r="G40" i="20"/>
  <c r="G42" i="20"/>
  <c r="G43" i="20"/>
  <c r="I45" i="20"/>
  <c r="H45" i="20"/>
  <c r="M35" i="20"/>
  <c r="M36" i="20"/>
  <c r="M37" i="20"/>
  <c r="M39" i="20"/>
  <c r="M40" i="20"/>
  <c r="M42" i="20"/>
  <c r="M43" i="20"/>
  <c r="J35" i="20"/>
  <c r="M45" i="20" l="1"/>
  <c r="AO19" i="25"/>
  <c r="AP19" i="25"/>
  <c r="AO20" i="25"/>
  <c r="AP20" i="25"/>
  <c r="AO21" i="25"/>
  <c r="AP21" i="25"/>
  <c r="AO23" i="25"/>
  <c r="AP23" i="25"/>
  <c r="AP18" i="25"/>
  <c r="AO18" i="25"/>
  <c r="S35" i="20" l="1"/>
  <c r="CJ17" i="27" l="1"/>
  <c r="CK17" i="27"/>
  <c r="BE5" i="27" l="1"/>
  <c r="BG5" i="27" s="1"/>
  <c r="BE6" i="27"/>
  <c r="BG6" i="27" s="1"/>
  <c r="BE7" i="27"/>
  <c r="BG7" i="27" s="1"/>
  <c r="BE8" i="27"/>
  <c r="BG8" i="27" s="1"/>
  <c r="BE9" i="27"/>
  <c r="BG9" i="27" s="1"/>
  <c r="BE10" i="27"/>
  <c r="BG10" i="27" s="1"/>
  <c r="BE12" i="27"/>
  <c r="BG12" i="27" s="1"/>
  <c r="BE13" i="27"/>
  <c r="BG13" i="27" s="1"/>
  <c r="BE14" i="27"/>
  <c r="BG14" i="27" s="1"/>
  <c r="BD5" i="27"/>
  <c r="BD6" i="27"/>
  <c r="BF6" i="27" s="1"/>
  <c r="BD7" i="27"/>
  <c r="BF7" i="27" s="1"/>
  <c r="BD8" i="27"/>
  <c r="BF8" i="27" s="1"/>
  <c r="BD9" i="27"/>
  <c r="BF9" i="27" s="1"/>
  <c r="BD10" i="27"/>
  <c r="BF10" i="27" s="1"/>
  <c r="BD12" i="27"/>
  <c r="BF12" i="27" s="1"/>
  <c r="BD13" i="27"/>
  <c r="BF13" i="27" s="1"/>
  <c r="BD14" i="27"/>
  <c r="BF14" i="27" s="1"/>
  <c r="BF5" i="27" l="1"/>
  <c r="F8" i="26"/>
  <c r="D14" i="27" s="1"/>
  <c r="G8" i="26"/>
  <c r="E14" i="27" s="1"/>
  <c r="H8" i="26"/>
  <c r="I8" i="26"/>
  <c r="F14" i="27" s="1"/>
  <c r="J8" i="26"/>
  <c r="G14" i="27" s="1"/>
  <c r="K8" i="26"/>
  <c r="L8" i="26"/>
  <c r="H14" i="27" s="1"/>
  <c r="M8" i="26"/>
  <c r="I14" i="27" s="1"/>
  <c r="N8" i="26"/>
  <c r="O8" i="26"/>
  <c r="J14" i="27" s="1"/>
  <c r="P8" i="26"/>
  <c r="K14" i="27" s="1"/>
  <c r="Q8" i="26"/>
  <c r="R8" i="26"/>
  <c r="S8" i="26"/>
  <c r="T8" i="26"/>
  <c r="U8" i="26"/>
  <c r="N14" i="27" s="1"/>
  <c r="V8" i="26"/>
  <c r="O14" i="27" s="1"/>
  <c r="W8" i="26"/>
  <c r="X8" i="26"/>
  <c r="P14" i="27" s="1"/>
  <c r="Y8" i="26"/>
  <c r="Q14" i="27" s="1"/>
  <c r="Z8" i="26"/>
  <c r="AA8" i="26"/>
  <c r="R14" i="27" s="1"/>
  <c r="AB8" i="26"/>
  <c r="S14" i="27" s="1"/>
  <c r="AC8" i="26"/>
  <c r="AD8" i="26"/>
  <c r="T14" i="27" s="1"/>
  <c r="AE8" i="26"/>
  <c r="U14" i="27" s="1"/>
  <c r="AF8" i="26"/>
  <c r="AG8" i="26"/>
  <c r="V14" i="27" s="1"/>
  <c r="AH8" i="26"/>
  <c r="W14" i="27" s="1"/>
  <c r="AI8" i="26"/>
  <c r="AJ8" i="26"/>
  <c r="X14" i="27" s="1"/>
  <c r="AK8" i="26"/>
  <c r="Y14" i="27" s="1"/>
  <c r="AL8" i="26"/>
  <c r="AM8" i="26"/>
  <c r="Z14" i="27" s="1"/>
  <c r="F11" i="25"/>
  <c r="D13" i="27" s="1"/>
  <c r="H11" i="25"/>
  <c r="I11" i="25"/>
  <c r="F13" i="27" s="1"/>
  <c r="K11" i="25"/>
  <c r="L11" i="25"/>
  <c r="H13" i="27" s="1"/>
  <c r="N11" i="25"/>
  <c r="O11" i="25"/>
  <c r="J13" i="27" s="1"/>
  <c r="Q11" i="25"/>
  <c r="R11" i="25"/>
  <c r="L13" i="27" s="1"/>
  <c r="T11" i="25"/>
  <c r="U11" i="25"/>
  <c r="N13" i="27" s="1"/>
  <c r="W11" i="25"/>
  <c r="X11" i="25"/>
  <c r="P13" i="27" s="1"/>
  <c r="Z11" i="25"/>
  <c r="AA11" i="25"/>
  <c r="R13" i="27" s="1"/>
  <c r="AC11" i="25"/>
  <c r="AD11" i="25"/>
  <c r="T13" i="27" s="1"/>
  <c r="AF11" i="25"/>
  <c r="AG11" i="25"/>
  <c r="V13" i="27" s="1"/>
  <c r="AI11" i="25"/>
  <c r="AJ11" i="25"/>
  <c r="X13" i="27" s="1"/>
  <c r="AL11" i="25"/>
  <c r="AM11" i="25"/>
  <c r="Z13" i="27" s="1"/>
  <c r="F8" i="24"/>
  <c r="H8" i="24"/>
  <c r="I8" i="24"/>
  <c r="F12" i="27" s="1"/>
  <c r="K8" i="24"/>
  <c r="L8" i="24"/>
  <c r="H12" i="27" s="1"/>
  <c r="N8" i="24"/>
  <c r="O8" i="24"/>
  <c r="J12" i="27" s="1"/>
  <c r="Q8" i="24"/>
  <c r="R8" i="24"/>
  <c r="L12" i="27" s="1"/>
  <c r="T8" i="24"/>
  <c r="U8" i="24"/>
  <c r="N12" i="27" s="1"/>
  <c r="W8" i="24"/>
  <c r="X8" i="24"/>
  <c r="P12" i="27" s="1"/>
  <c r="Y8" i="24"/>
  <c r="Q12" i="27" s="1"/>
  <c r="Z8" i="24"/>
  <c r="AA8" i="24"/>
  <c r="R12" i="27" s="1"/>
  <c r="AB8" i="24"/>
  <c r="S12" i="27" s="1"/>
  <c r="AC8" i="24"/>
  <c r="AD8" i="24"/>
  <c r="T12" i="27" s="1"/>
  <c r="AE8" i="24"/>
  <c r="U12" i="27" s="1"/>
  <c r="AF8" i="24"/>
  <c r="AG8" i="24"/>
  <c r="V12" i="27" s="1"/>
  <c r="AH8" i="24"/>
  <c r="W12" i="27" s="1"/>
  <c r="AI8" i="24"/>
  <c r="AJ8" i="24"/>
  <c r="X12" i="27" s="1"/>
  <c r="AK8" i="24"/>
  <c r="Y12" i="27" s="1"/>
  <c r="AL8" i="24"/>
  <c r="AM8" i="24"/>
  <c r="Z12" i="27" s="1"/>
  <c r="AN8" i="24"/>
  <c r="AA12" i="27" s="1"/>
  <c r="F8" i="23"/>
  <c r="D11" i="27" s="1"/>
  <c r="H8" i="23"/>
  <c r="I8" i="23"/>
  <c r="F11" i="27" s="1"/>
  <c r="K8" i="23"/>
  <c r="L8" i="23"/>
  <c r="H11" i="27" s="1"/>
  <c r="N8" i="23"/>
  <c r="O8" i="23"/>
  <c r="J11" i="27" s="1"/>
  <c r="Q8" i="23"/>
  <c r="R8" i="23"/>
  <c r="L11" i="27" s="1"/>
  <c r="T8" i="23"/>
  <c r="U8" i="23"/>
  <c r="N11" i="27" s="1"/>
  <c r="W8" i="23"/>
  <c r="X8" i="23"/>
  <c r="P11" i="27" s="1"/>
  <c r="Z8" i="23"/>
  <c r="AA8" i="23"/>
  <c r="R11" i="27" s="1"/>
  <c r="AC8" i="23"/>
  <c r="AD8" i="23"/>
  <c r="T11" i="27" s="1"/>
  <c r="AF8" i="23"/>
  <c r="AG8" i="23"/>
  <c r="V11" i="27" s="1"/>
  <c r="AI8" i="23"/>
  <c r="AJ8" i="23"/>
  <c r="X11" i="27" s="1"/>
  <c r="AL8" i="23"/>
  <c r="AM8" i="23"/>
  <c r="Z11" i="27" s="1"/>
  <c r="H9" i="22"/>
  <c r="I9" i="22"/>
  <c r="F10" i="27" s="1"/>
  <c r="K9" i="22"/>
  <c r="L9" i="22"/>
  <c r="H10" i="27" s="1"/>
  <c r="N9" i="22"/>
  <c r="O9" i="22"/>
  <c r="J10" i="27" s="1"/>
  <c r="Q9" i="22"/>
  <c r="R9" i="22"/>
  <c r="L10" i="27" s="1"/>
  <c r="T9" i="22"/>
  <c r="U9" i="22"/>
  <c r="N10" i="27" s="1"/>
  <c r="W9" i="22"/>
  <c r="X9" i="22"/>
  <c r="P10" i="27" s="1"/>
  <c r="Z9" i="22"/>
  <c r="AA9" i="22"/>
  <c r="R10" i="27" s="1"/>
  <c r="AC9" i="22"/>
  <c r="AD9" i="22"/>
  <c r="T10" i="27" s="1"/>
  <c r="AF9" i="22"/>
  <c r="AG9" i="22"/>
  <c r="V10" i="27" s="1"/>
  <c r="AI9" i="22"/>
  <c r="AJ9" i="22"/>
  <c r="X10" i="27" s="1"/>
  <c r="AL9" i="22"/>
  <c r="AM9" i="22"/>
  <c r="Z10" i="27" s="1"/>
  <c r="F7" i="21"/>
  <c r="D9" i="27" s="1"/>
  <c r="G7" i="21"/>
  <c r="E9" i="27" s="1"/>
  <c r="H7" i="21"/>
  <c r="I7" i="21"/>
  <c r="F9" i="27" s="1"/>
  <c r="J7" i="21"/>
  <c r="G9" i="27" s="1"/>
  <c r="K7" i="21"/>
  <c r="L7" i="21"/>
  <c r="H9" i="27" s="1"/>
  <c r="N7" i="21"/>
  <c r="O7" i="21"/>
  <c r="J9" i="27" s="1"/>
  <c r="Q7" i="21"/>
  <c r="R7" i="21"/>
  <c r="L9" i="27" s="1"/>
  <c r="T7" i="21"/>
  <c r="U7" i="21"/>
  <c r="N9" i="27" s="1"/>
  <c r="V7" i="21"/>
  <c r="O9" i="27" s="1"/>
  <c r="W7" i="21"/>
  <c r="X7" i="21"/>
  <c r="P9" i="27" s="1"/>
  <c r="Y7" i="21"/>
  <c r="Q9" i="27" s="1"/>
  <c r="Z7" i="21"/>
  <c r="AA7" i="21"/>
  <c r="R9" i="27" s="1"/>
  <c r="AC7" i="21"/>
  <c r="AD7" i="21"/>
  <c r="T9" i="27" s="1"/>
  <c r="AE7" i="21"/>
  <c r="U9" i="27" s="1"/>
  <c r="AF7" i="21"/>
  <c r="AG7" i="21"/>
  <c r="V9" i="27" s="1"/>
  <c r="AH7" i="21"/>
  <c r="W9" i="27" s="1"/>
  <c r="AI7" i="21"/>
  <c r="AJ7" i="21"/>
  <c r="X9" i="27" s="1"/>
  <c r="AL7" i="21"/>
  <c r="AM7" i="21"/>
  <c r="Z9" i="27" s="1"/>
  <c r="AN7" i="21"/>
  <c r="AA9" i="27" s="1"/>
  <c r="F16" i="20"/>
  <c r="D8" i="27" s="1"/>
  <c r="H16" i="20"/>
  <c r="I16" i="20"/>
  <c r="F8" i="27" s="1"/>
  <c r="K16" i="20"/>
  <c r="L16" i="20"/>
  <c r="H8" i="27" s="1"/>
  <c r="N16" i="20"/>
  <c r="O16" i="20"/>
  <c r="J8" i="27" s="1"/>
  <c r="Q16" i="20"/>
  <c r="R16" i="20"/>
  <c r="L8" i="27" s="1"/>
  <c r="T16" i="20"/>
  <c r="U16" i="20"/>
  <c r="N8" i="27" s="1"/>
  <c r="W16" i="20"/>
  <c r="X16" i="20"/>
  <c r="P8" i="27" s="1"/>
  <c r="Z16" i="20"/>
  <c r="AA16" i="20"/>
  <c r="R8" i="27" s="1"/>
  <c r="AC16" i="20"/>
  <c r="AD16" i="20"/>
  <c r="T8" i="27" s="1"/>
  <c r="AF16" i="20"/>
  <c r="AG16" i="20"/>
  <c r="V8" i="27" s="1"/>
  <c r="AI16" i="20"/>
  <c r="AJ16" i="20"/>
  <c r="X8" i="27" s="1"/>
  <c r="AL16" i="20"/>
  <c r="AM16" i="20"/>
  <c r="Z8" i="27" s="1"/>
  <c r="L13" i="19"/>
  <c r="H6" i="27" s="1"/>
  <c r="N13" i="19"/>
  <c r="N25" i="19" s="1"/>
  <c r="O13" i="19"/>
  <c r="J6" i="27" s="1"/>
  <c r="Q13" i="19"/>
  <c r="Q25" i="19" s="1"/>
  <c r="R13" i="19"/>
  <c r="L6" i="27" s="1"/>
  <c r="T13" i="19"/>
  <c r="T25" i="19" s="1"/>
  <c r="U13" i="19"/>
  <c r="N6" i="27" s="1"/>
  <c r="W13" i="19"/>
  <c r="W25" i="19" s="1"/>
  <c r="X13" i="19"/>
  <c r="P6" i="27" s="1"/>
  <c r="Z13" i="19"/>
  <c r="Z25" i="19" s="1"/>
  <c r="AA13" i="19"/>
  <c r="R6" i="27" s="1"/>
  <c r="AC13" i="19"/>
  <c r="AC25" i="19" s="1"/>
  <c r="AD13" i="19"/>
  <c r="T6" i="27" s="1"/>
  <c r="AF13" i="19"/>
  <c r="AF25" i="19" s="1"/>
  <c r="AG13" i="19"/>
  <c r="V6" i="27" s="1"/>
  <c r="AI13" i="19"/>
  <c r="AI25" i="19" s="1"/>
  <c r="AJ13" i="19"/>
  <c r="X6" i="27" s="1"/>
  <c r="AL13" i="19"/>
  <c r="AL25" i="19" s="1"/>
  <c r="AM13" i="19"/>
  <c r="Z6" i="27" s="1"/>
  <c r="K13" i="19"/>
  <c r="K25" i="19" s="1"/>
  <c r="F8" i="18"/>
  <c r="D7" i="27" s="1"/>
  <c r="H8" i="18"/>
  <c r="I8" i="18"/>
  <c r="F7" i="27" s="1"/>
  <c r="K8" i="18"/>
  <c r="L8" i="18"/>
  <c r="H7" i="27" s="1"/>
  <c r="N8" i="18"/>
  <c r="O8" i="18"/>
  <c r="J7" i="27" s="1"/>
  <c r="Q8" i="18"/>
  <c r="R8" i="18"/>
  <c r="L7" i="27" s="1"/>
  <c r="T8" i="18"/>
  <c r="U8" i="18"/>
  <c r="N7" i="27" s="1"/>
  <c r="W8" i="18"/>
  <c r="X8" i="18"/>
  <c r="P7" i="27" s="1"/>
  <c r="Z8" i="18"/>
  <c r="AA8" i="18"/>
  <c r="R7" i="27" s="1"/>
  <c r="AC8" i="18"/>
  <c r="AD8" i="18"/>
  <c r="T7" i="27" s="1"/>
  <c r="AF8" i="18"/>
  <c r="AG8" i="18"/>
  <c r="V7" i="27" s="1"/>
  <c r="AI8" i="18"/>
  <c r="AJ8" i="18"/>
  <c r="X7" i="27" s="1"/>
  <c r="AL8" i="18"/>
  <c r="AM8" i="18"/>
  <c r="Z7" i="27" s="1"/>
  <c r="N18" i="17"/>
  <c r="O18" i="17"/>
  <c r="J5" i="27" s="1"/>
  <c r="Q18" i="17"/>
  <c r="R18" i="17"/>
  <c r="L5" i="27" s="1"/>
  <c r="T18" i="17"/>
  <c r="U18" i="17"/>
  <c r="N5" i="27" s="1"/>
  <c r="W18" i="17"/>
  <c r="X18" i="17"/>
  <c r="P5" i="27" s="1"/>
  <c r="Z18" i="17"/>
  <c r="AA18" i="17"/>
  <c r="R5" i="27" s="1"/>
  <c r="AC18" i="17"/>
  <c r="AD18" i="17"/>
  <c r="T5" i="27" s="1"/>
  <c r="AF18" i="17"/>
  <c r="AG18" i="17"/>
  <c r="V5" i="27" s="1"/>
  <c r="AI18" i="17"/>
  <c r="AJ18" i="17"/>
  <c r="X5" i="27" s="1"/>
  <c r="AL18" i="17"/>
  <c r="AM18" i="17"/>
  <c r="Z5" i="27" s="1"/>
  <c r="F19" i="16"/>
  <c r="D4" i="27" s="1"/>
  <c r="H19" i="16"/>
  <c r="I19" i="16"/>
  <c r="F4" i="27" s="1"/>
  <c r="K19" i="16"/>
  <c r="L19" i="16"/>
  <c r="H4" i="27" s="1"/>
  <c r="N19" i="16"/>
  <c r="O19" i="16"/>
  <c r="J4" i="27" s="1"/>
  <c r="Q19" i="16"/>
  <c r="R19" i="16"/>
  <c r="L4" i="27" s="1"/>
  <c r="T19" i="16"/>
  <c r="U19" i="16"/>
  <c r="N4" i="27" s="1"/>
  <c r="W19" i="16"/>
  <c r="X19" i="16"/>
  <c r="P4" i="27" s="1"/>
  <c r="Z19" i="16"/>
  <c r="AA19" i="16"/>
  <c r="R4" i="27" s="1"/>
  <c r="AC19" i="16"/>
  <c r="AD19" i="16"/>
  <c r="T4" i="27" s="1"/>
  <c r="AF19" i="16"/>
  <c r="AG19" i="16"/>
  <c r="V4" i="27" s="1"/>
  <c r="AI19" i="16"/>
  <c r="AJ19" i="16"/>
  <c r="X4" i="27" s="1"/>
  <c r="AL19" i="16"/>
  <c r="AM19" i="16"/>
  <c r="Z4" i="27" s="1"/>
  <c r="AN5" i="26" l="1"/>
  <c r="AO5" i="18" l="1"/>
  <c r="AN13" i="17" l="1"/>
  <c r="AN7" i="26" l="1"/>
  <c r="AN6" i="17"/>
  <c r="AN7" i="17"/>
  <c r="AN8" i="17"/>
  <c r="AN9" i="17"/>
  <c r="AN10" i="17"/>
  <c r="AN11" i="17"/>
  <c r="AN12" i="17"/>
  <c r="AN14" i="17"/>
  <c r="AN15" i="17"/>
  <c r="AN16" i="17"/>
  <c r="AN5" i="17"/>
  <c r="AK6" i="17"/>
  <c r="AK7" i="17"/>
  <c r="AK8" i="17"/>
  <c r="AK9" i="17"/>
  <c r="AK10" i="17"/>
  <c r="AK11" i="17"/>
  <c r="AK12" i="17"/>
  <c r="AK13" i="17"/>
  <c r="AK14" i="17"/>
  <c r="AK15" i="17"/>
  <c r="AK16" i="17"/>
  <c r="AK5" i="17"/>
  <c r="AH6" i="17"/>
  <c r="AH7" i="17"/>
  <c r="AH8" i="17"/>
  <c r="AH9" i="17"/>
  <c r="AH10" i="17"/>
  <c r="AH11" i="17"/>
  <c r="AH12" i="17"/>
  <c r="AH13" i="17"/>
  <c r="AH14" i="17"/>
  <c r="AH15" i="17"/>
  <c r="AH16" i="17"/>
  <c r="AH5" i="17"/>
  <c r="AK11" i="19"/>
  <c r="AK18" i="17" l="1"/>
  <c r="Y5" i="27" s="1"/>
  <c r="AN18" i="17"/>
  <c r="AA5" i="27" s="1"/>
  <c r="AH18" i="17"/>
  <c r="W5" i="27" s="1"/>
  <c r="AK5" i="18"/>
  <c r="AK7" i="20"/>
  <c r="S7" i="25" l="1"/>
  <c r="L18" i="17"/>
  <c r="H5" i="27" s="1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29" i="17" s="1"/>
  <c r="AE5" i="17"/>
  <c r="AB6" i="17"/>
  <c r="AB7" i="17"/>
  <c r="AB8" i="17"/>
  <c r="AB9" i="17"/>
  <c r="AB10" i="17"/>
  <c r="AB11" i="17"/>
  <c r="AB12" i="17"/>
  <c r="AB13" i="17"/>
  <c r="AB14" i="17"/>
  <c r="AB15" i="17"/>
  <c r="AB16" i="17"/>
  <c r="AB17" i="17"/>
  <c r="AB29" i="17" s="1"/>
  <c r="AB5" i="17"/>
  <c r="Y6" i="17"/>
  <c r="Y7" i="17"/>
  <c r="Y8" i="17"/>
  <c r="Y9" i="17"/>
  <c r="Y10" i="17"/>
  <c r="Y11" i="17"/>
  <c r="Y12" i="17"/>
  <c r="Y13" i="17"/>
  <c r="Y14" i="17"/>
  <c r="Y15" i="17"/>
  <c r="Y16" i="17"/>
  <c r="Y17" i="17"/>
  <c r="Y29" i="17" s="1"/>
  <c r="Y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29" i="17" s="1"/>
  <c r="V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29" i="17" s="1"/>
  <c r="S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29" i="17" s="1"/>
  <c r="P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29" i="17" s="1"/>
  <c r="M5" i="17"/>
  <c r="AB18" i="17" l="1"/>
  <c r="S5" i="27" s="1"/>
  <c r="S18" i="17"/>
  <c r="M5" i="27" s="1"/>
  <c r="V18" i="17"/>
  <c r="O5" i="27" s="1"/>
  <c r="M18" i="17"/>
  <c r="I5" i="27" s="1"/>
  <c r="P18" i="17"/>
  <c r="K5" i="27" s="1"/>
  <c r="Y18" i="17"/>
  <c r="Q5" i="27" s="1"/>
  <c r="AE18" i="17"/>
  <c r="U5" i="27" s="1"/>
  <c r="M5" i="21"/>
  <c r="M7" i="21" s="1"/>
  <c r="I9" i="27" s="1"/>
  <c r="G15" i="17"/>
  <c r="AO6" i="25"/>
  <c r="AP6" i="25"/>
  <c r="AO7" i="25"/>
  <c r="AP7" i="25"/>
  <c r="AO8" i="25"/>
  <c r="AP8" i="25"/>
  <c r="AO9" i="25"/>
  <c r="AP9" i="25"/>
  <c r="AO10" i="25"/>
  <c r="AP10" i="25"/>
  <c r="J7" i="25"/>
  <c r="AQ7" i="25" s="1"/>
  <c r="G6" i="18" l="1"/>
  <c r="G7" i="18"/>
  <c r="F6" i="22"/>
  <c r="F9" i="22" s="1"/>
  <c r="D10" i="27" s="1"/>
  <c r="G6" i="16"/>
  <c r="G5" i="16"/>
  <c r="E7" i="21"/>
  <c r="AO6" i="21"/>
  <c r="AP6" i="21"/>
  <c r="S6" i="21"/>
  <c r="AB5" i="21"/>
  <c r="AB7" i="21" s="1"/>
  <c r="S9" i="27" s="1"/>
  <c r="AK6" i="21"/>
  <c r="P6" i="21"/>
  <c r="AQ6" i="21" l="1"/>
  <c r="AK5" i="21"/>
  <c r="AK7" i="21" s="1"/>
  <c r="Y9" i="27" s="1"/>
  <c r="S5" i="21"/>
  <c r="S7" i="21" s="1"/>
  <c r="M9" i="27" s="1"/>
  <c r="P5" i="21"/>
  <c r="P7" i="21" s="1"/>
  <c r="K9" i="27" s="1"/>
  <c r="AP5" i="21"/>
  <c r="AP7" i="21" s="1"/>
  <c r="AO5" i="21"/>
  <c r="AO7" i="21" s="1"/>
  <c r="AQ69" i="21"/>
  <c r="AP69" i="21"/>
  <c r="AO69" i="21"/>
  <c r="AQ58" i="21"/>
  <c r="AP58" i="21"/>
  <c r="AO58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AQ5" i="26"/>
  <c r="AP5" i="26"/>
  <c r="AO5" i="26"/>
  <c r="AN6" i="26"/>
  <c r="AO7" i="26"/>
  <c r="AP7" i="26"/>
  <c r="AQ7" i="26"/>
  <c r="AP6" i="26"/>
  <c r="AO6" i="26"/>
  <c r="AQ34" i="26"/>
  <c r="AP34" i="26"/>
  <c r="AO34" i="26"/>
  <c r="AQ23" i="26"/>
  <c r="AQ35" i="26" s="1"/>
  <c r="AP23" i="26"/>
  <c r="AO23" i="26"/>
  <c r="E8" i="26"/>
  <c r="G19" i="26"/>
  <c r="J19" i="26"/>
  <c r="M19" i="26"/>
  <c r="G22" i="26"/>
  <c r="J22" i="26"/>
  <c r="M22" i="26"/>
  <c r="S22" i="26"/>
  <c r="S23" i="26" s="1"/>
  <c r="E23" i="26"/>
  <c r="F23" i="26"/>
  <c r="H23" i="26"/>
  <c r="I23" i="26"/>
  <c r="K23" i="26"/>
  <c r="L23" i="26"/>
  <c r="N23" i="26"/>
  <c r="O23" i="26"/>
  <c r="P23" i="26"/>
  <c r="Q23" i="26"/>
  <c r="R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L23" i="26"/>
  <c r="AM23" i="26"/>
  <c r="AN23" i="26"/>
  <c r="AN6" i="25"/>
  <c r="AN9" i="25"/>
  <c r="AN10" i="25"/>
  <c r="AN5" i="25"/>
  <c r="AK6" i="25"/>
  <c r="AK8" i="25"/>
  <c r="AK9" i="25"/>
  <c r="AK10" i="25"/>
  <c r="AK5" i="25"/>
  <c r="AH6" i="25"/>
  <c r="AH8" i="25"/>
  <c r="AH9" i="25"/>
  <c r="AH10" i="25"/>
  <c r="AH5" i="25"/>
  <c r="AE6" i="25"/>
  <c r="AE8" i="25"/>
  <c r="AE9" i="25"/>
  <c r="AE10" i="25"/>
  <c r="AE5" i="25"/>
  <c r="AB6" i="25"/>
  <c r="AB8" i="25"/>
  <c r="AB9" i="25"/>
  <c r="AB10" i="25"/>
  <c r="AB5" i="25"/>
  <c r="Y6" i="25"/>
  <c r="Y8" i="25"/>
  <c r="Y9" i="25"/>
  <c r="Y10" i="25"/>
  <c r="Y5" i="25"/>
  <c r="V6" i="25"/>
  <c r="V8" i="25"/>
  <c r="V9" i="25"/>
  <c r="V10" i="25"/>
  <c r="V5" i="25"/>
  <c r="S6" i="25"/>
  <c r="S8" i="25"/>
  <c r="S9" i="25"/>
  <c r="S10" i="25"/>
  <c r="S5" i="25"/>
  <c r="P6" i="25"/>
  <c r="P8" i="25"/>
  <c r="P9" i="25"/>
  <c r="P10" i="25"/>
  <c r="P5" i="25"/>
  <c r="M6" i="25"/>
  <c r="M8" i="25"/>
  <c r="M9" i="25"/>
  <c r="M10" i="25"/>
  <c r="M5" i="25"/>
  <c r="J6" i="25"/>
  <c r="J8" i="25"/>
  <c r="J9" i="25"/>
  <c r="J10" i="25"/>
  <c r="J5" i="25"/>
  <c r="G6" i="25"/>
  <c r="G8" i="25"/>
  <c r="G9" i="25"/>
  <c r="G10" i="25"/>
  <c r="G5" i="25"/>
  <c r="AP5" i="25"/>
  <c r="AP11" i="25" s="1"/>
  <c r="AO5" i="25"/>
  <c r="AO11" i="25" s="1"/>
  <c r="AQ35" i="25"/>
  <c r="AP35" i="25"/>
  <c r="AO35" i="25"/>
  <c r="AP24" i="25"/>
  <c r="AO24" i="25"/>
  <c r="E11" i="25"/>
  <c r="E8" i="24"/>
  <c r="V6" i="24"/>
  <c r="V7" i="24"/>
  <c r="V5" i="24"/>
  <c r="S6" i="24"/>
  <c r="S7" i="24"/>
  <c r="S5" i="24"/>
  <c r="P6" i="24"/>
  <c r="P7" i="24"/>
  <c r="P5" i="24"/>
  <c r="M6" i="24"/>
  <c r="M7" i="24"/>
  <c r="M5" i="24"/>
  <c r="J6" i="24"/>
  <c r="J7" i="24"/>
  <c r="J5" i="24"/>
  <c r="G6" i="24"/>
  <c r="G7" i="24"/>
  <c r="G5" i="24"/>
  <c r="AO6" i="24"/>
  <c r="AP6" i="24"/>
  <c r="AO7" i="24"/>
  <c r="AP7" i="24"/>
  <c r="AQ66" i="24"/>
  <c r="AP66" i="24"/>
  <c r="AO66" i="24"/>
  <c r="AQ55" i="24"/>
  <c r="AP55" i="24"/>
  <c r="AO55" i="24"/>
  <c r="AP5" i="24"/>
  <c r="AO5" i="24"/>
  <c r="AN6" i="23"/>
  <c r="AN7" i="23"/>
  <c r="AN5" i="23"/>
  <c r="AK6" i="23"/>
  <c r="AK7" i="23"/>
  <c r="AH6" i="23"/>
  <c r="AH7" i="23"/>
  <c r="AH5" i="23"/>
  <c r="AE6" i="23"/>
  <c r="AE7" i="23"/>
  <c r="AE5" i="23"/>
  <c r="AE8" i="23" s="1"/>
  <c r="U11" i="27" s="1"/>
  <c r="AB6" i="23"/>
  <c r="AB7" i="23"/>
  <c r="AB5" i="23"/>
  <c r="Y6" i="23"/>
  <c r="Y7" i="23"/>
  <c r="Y5" i="23"/>
  <c r="V6" i="23"/>
  <c r="V7" i="23"/>
  <c r="V5" i="23"/>
  <c r="S6" i="23"/>
  <c r="S7" i="23"/>
  <c r="S5" i="23"/>
  <c r="P6" i="23"/>
  <c r="P7" i="23"/>
  <c r="P5" i="23"/>
  <c r="M6" i="23"/>
  <c r="M7" i="23"/>
  <c r="M5" i="23"/>
  <c r="J6" i="23"/>
  <c r="J7" i="23"/>
  <c r="J5" i="23"/>
  <c r="G6" i="23"/>
  <c r="G7" i="23"/>
  <c r="G5" i="23"/>
  <c r="G8" i="23" s="1"/>
  <c r="E11" i="27" s="1"/>
  <c r="AO5" i="23"/>
  <c r="AP5" i="23"/>
  <c r="AO6" i="23"/>
  <c r="AP6" i="23"/>
  <c r="AO7" i="23"/>
  <c r="AP7" i="23"/>
  <c r="AQ78" i="23"/>
  <c r="AP78" i="23"/>
  <c r="AO78" i="23"/>
  <c r="AQ67" i="23"/>
  <c r="AP67" i="23"/>
  <c r="AO67" i="23"/>
  <c r="AQ19" i="23"/>
  <c r="AP19" i="23"/>
  <c r="AO19" i="23"/>
  <c r="AN19" i="23"/>
  <c r="AM19" i="23"/>
  <c r="AL19" i="23"/>
  <c r="AL20" i="23" s="1"/>
  <c r="AK19" i="23"/>
  <c r="AJ19" i="23"/>
  <c r="AI19" i="23"/>
  <c r="AH19" i="23"/>
  <c r="AG19" i="23"/>
  <c r="AF19" i="23"/>
  <c r="AE19" i="23"/>
  <c r="AD19" i="23"/>
  <c r="AC19" i="23"/>
  <c r="AC20" i="23" s="1"/>
  <c r="AB19" i="23"/>
  <c r="AA19" i="23"/>
  <c r="Z19" i="23"/>
  <c r="Z20" i="23" s="1"/>
  <c r="Y19" i="23"/>
  <c r="X19" i="23"/>
  <c r="W19" i="23"/>
  <c r="V19" i="23"/>
  <c r="U19" i="23"/>
  <c r="T19" i="23"/>
  <c r="S19" i="23"/>
  <c r="R19" i="23"/>
  <c r="R20" i="23" s="1"/>
  <c r="Q19" i="23"/>
  <c r="Q20" i="23" s="1"/>
  <c r="P19" i="23"/>
  <c r="O19" i="23"/>
  <c r="O20" i="23" s="1"/>
  <c r="N19" i="23"/>
  <c r="N20" i="23" s="1"/>
  <c r="M19" i="23"/>
  <c r="L19" i="23"/>
  <c r="K19" i="23"/>
  <c r="J19" i="23"/>
  <c r="I19" i="23"/>
  <c r="H19" i="23"/>
  <c r="F19" i="23"/>
  <c r="E19" i="23"/>
  <c r="G17" i="23"/>
  <c r="G16" i="23"/>
  <c r="G15" i="23"/>
  <c r="G14" i="23"/>
  <c r="E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M56" i="23"/>
  <c r="P56" i="23"/>
  <c r="S56" i="23"/>
  <c r="G57" i="23"/>
  <c r="M57" i="23"/>
  <c r="P57" i="23"/>
  <c r="S57" i="23"/>
  <c r="G58" i="23"/>
  <c r="M58" i="23"/>
  <c r="G59" i="23"/>
  <c r="M59" i="23"/>
  <c r="G60" i="23"/>
  <c r="M60" i="23"/>
  <c r="G61" i="23"/>
  <c r="M61" i="23"/>
  <c r="G62" i="23"/>
  <c r="M62" i="23"/>
  <c r="E9" i="22"/>
  <c r="AN6" i="22"/>
  <c r="AN7" i="22"/>
  <c r="AN8" i="22"/>
  <c r="AN5" i="22"/>
  <c r="AK6" i="22"/>
  <c r="AK7" i="22"/>
  <c r="AK8" i="22"/>
  <c r="AK5" i="22"/>
  <c r="AH6" i="22"/>
  <c r="AH7" i="22"/>
  <c r="AH8" i="22"/>
  <c r="AH5" i="22"/>
  <c r="AB6" i="22"/>
  <c r="AB7" i="22"/>
  <c r="AB8" i="22"/>
  <c r="AB5" i="22"/>
  <c r="S6" i="22"/>
  <c r="S7" i="22"/>
  <c r="S8" i="22"/>
  <c r="S5" i="22"/>
  <c r="P6" i="22"/>
  <c r="P7" i="22"/>
  <c r="P8" i="22"/>
  <c r="P5" i="22"/>
  <c r="M6" i="22"/>
  <c r="M7" i="22"/>
  <c r="M8" i="22"/>
  <c r="M5" i="22"/>
  <c r="J6" i="22"/>
  <c r="J7" i="22"/>
  <c r="J8" i="22"/>
  <c r="J5" i="22"/>
  <c r="G6" i="22"/>
  <c r="G7" i="22"/>
  <c r="G8" i="22"/>
  <c r="G5" i="22"/>
  <c r="V6" i="22"/>
  <c r="V7" i="22"/>
  <c r="V8" i="22"/>
  <c r="V5" i="22"/>
  <c r="AE6" i="22"/>
  <c r="AE7" i="22"/>
  <c r="AE8" i="22"/>
  <c r="AE5" i="22"/>
  <c r="Y6" i="22"/>
  <c r="Y7" i="22"/>
  <c r="Y8" i="22"/>
  <c r="Y5" i="22"/>
  <c r="AP5" i="22"/>
  <c r="AO5" i="22"/>
  <c r="AO7" i="22"/>
  <c r="AP7" i="22"/>
  <c r="AO8" i="22"/>
  <c r="AP8" i="22"/>
  <c r="AP6" i="22"/>
  <c r="AO6" i="22"/>
  <c r="AQ45" i="22"/>
  <c r="AP45" i="22"/>
  <c r="AO45" i="22"/>
  <c r="AQ34" i="22"/>
  <c r="AP34" i="22"/>
  <c r="AO34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R20" i="22"/>
  <c r="Q20" i="22"/>
  <c r="P20" i="22"/>
  <c r="O20" i="22"/>
  <c r="N20" i="22"/>
  <c r="M20" i="22"/>
  <c r="L20" i="22"/>
  <c r="K20" i="22"/>
  <c r="J20" i="22"/>
  <c r="I20" i="22"/>
  <c r="H20" i="22"/>
  <c r="F20" i="22"/>
  <c r="E20" i="22"/>
  <c r="G20" i="22"/>
  <c r="S20" i="22"/>
  <c r="AN6" i="20"/>
  <c r="AN7" i="20"/>
  <c r="AN8" i="20"/>
  <c r="AN9" i="20"/>
  <c r="AN10" i="20"/>
  <c r="AN11" i="20"/>
  <c r="AN12" i="20"/>
  <c r="AN13" i="20"/>
  <c r="AN14" i="20"/>
  <c r="AN15" i="20"/>
  <c r="AN5" i="20"/>
  <c r="AK6" i="20"/>
  <c r="AK8" i="20"/>
  <c r="AK9" i="20"/>
  <c r="AK10" i="20"/>
  <c r="AK11" i="20"/>
  <c r="AK12" i="20"/>
  <c r="AK13" i="20"/>
  <c r="AK14" i="20"/>
  <c r="AK15" i="20"/>
  <c r="AK5" i="20"/>
  <c r="AH6" i="20"/>
  <c r="AH7" i="20"/>
  <c r="AH8" i="20"/>
  <c r="AH9" i="20"/>
  <c r="AH10" i="20"/>
  <c r="AH11" i="20"/>
  <c r="AH12" i="20"/>
  <c r="AH13" i="20"/>
  <c r="AH14" i="20"/>
  <c r="AH15" i="20"/>
  <c r="AH5" i="20"/>
  <c r="AE6" i="20"/>
  <c r="AE7" i="20"/>
  <c r="AE8" i="20"/>
  <c r="AE9" i="20"/>
  <c r="AE10" i="20"/>
  <c r="AE11" i="20"/>
  <c r="AE12" i="20"/>
  <c r="AE13" i="20"/>
  <c r="AE14" i="20"/>
  <c r="AE15" i="20"/>
  <c r="AE5" i="20"/>
  <c r="AB6" i="20"/>
  <c r="AB7" i="20"/>
  <c r="AB8" i="20"/>
  <c r="AB9" i="20"/>
  <c r="AB10" i="20"/>
  <c r="AB11" i="20"/>
  <c r="AB12" i="20"/>
  <c r="AB13" i="20"/>
  <c r="AB14" i="20"/>
  <c r="AB15" i="20"/>
  <c r="AB5" i="20"/>
  <c r="Y6" i="20"/>
  <c r="Y7" i="20"/>
  <c r="Y8" i="20"/>
  <c r="Y9" i="20"/>
  <c r="Y10" i="20"/>
  <c r="Y11" i="20"/>
  <c r="Y12" i="20"/>
  <c r="Y13" i="20"/>
  <c r="Y14" i="20"/>
  <c r="Y15" i="20"/>
  <c r="Y5" i="20"/>
  <c r="V6" i="20"/>
  <c r="V7" i="20"/>
  <c r="V8" i="20"/>
  <c r="V9" i="20"/>
  <c r="V10" i="20"/>
  <c r="V11" i="20"/>
  <c r="V12" i="20"/>
  <c r="V13" i="20"/>
  <c r="V14" i="20"/>
  <c r="V15" i="20"/>
  <c r="V5" i="20"/>
  <c r="S6" i="20"/>
  <c r="S7" i="20"/>
  <c r="S8" i="20"/>
  <c r="S9" i="20"/>
  <c r="S10" i="20"/>
  <c r="S11" i="20"/>
  <c r="S12" i="20"/>
  <c r="S13" i="20"/>
  <c r="S14" i="20"/>
  <c r="S15" i="20"/>
  <c r="S5" i="20"/>
  <c r="P6" i="20"/>
  <c r="P7" i="20"/>
  <c r="P8" i="20"/>
  <c r="P9" i="20"/>
  <c r="P10" i="20"/>
  <c r="P11" i="20"/>
  <c r="P12" i="20"/>
  <c r="P13" i="20"/>
  <c r="P14" i="20"/>
  <c r="P15" i="20"/>
  <c r="P5" i="20"/>
  <c r="M6" i="20"/>
  <c r="M7" i="20"/>
  <c r="M8" i="20"/>
  <c r="M9" i="20"/>
  <c r="M10" i="20"/>
  <c r="M11" i="20"/>
  <c r="M12" i="20"/>
  <c r="M13" i="20"/>
  <c r="M14" i="20"/>
  <c r="M15" i="20"/>
  <c r="M5" i="20"/>
  <c r="J6" i="20"/>
  <c r="J7" i="20"/>
  <c r="J8" i="20"/>
  <c r="J9" i="20"/>
  <c r="J10" i="20"/>
  <c r="J11" i="20"/>
  <c r="J13" i="20"/>
  <c r="J14" i="20"/>
  <c r="J15" i="20"/>
  <c r="J5" i="20"/>
  <c r="G6" i="20"/>
  <c r="G7" i="20"/>
  <c r="G8" i="20"/>
  <c r="G9" i="20"/>
  <c r="G10" i="20"/>
  <c r="G11" i="20"/>
  <c r="G12" i="20"/>
  <c r="G13" i="20"/>
  <c r="G14" i="20"/>
  <c r="G15" i="20"/>
  <c r="G5" i="20"/>
  <c r="E16" i="20"/>
  <c r="AO15" i="20"/>
  <c r="AP15" i="20"/>
  <c r="AO12" i="20"/>
  <c r="AP12" i="20"/>
  <c r="AO8" i="20"/>
  <c r="AP8" i="20"/>
  <c r="AO13" i="20"/>
  <c r="AP13" i="20"/>
  <c r="AO14" i="20"/>
  <c r="AP14" i="20"/>
  <c r="AO11" i="20"/>
  <c r="AP11" i="20"/>
  <c r="AN6" i="19"/>
  <c r="AN7" i="19"/>
  <c r="AN8" i="19"/>
  <c r="AN9" i="19"/>
  <c r="AN10" i="19"/>
  <c r="AN11" i="19"/>
  <c r="AN12" i="19"/>
  <c r="AN5" i="19"/>
  <c r="AK6" i="19"/>
  <c r="AK7" i="19"/>
  <c r="AK8" i="19"/>
  <c r="AK9" i="19"/>
  <c r="AK10" i="19"/>
  <c r="AK12" i="19"/>
  <c r="AK5" i="19"/>
  <c r="AH6" i="19"/>
  <c r="AH7" i="19"/>
  <c r="AH8" i="19"/>
  <c r="AH9" i="19"/>
  <c r="AH10" i="19"/>
  <c r="AH11" i="19"/>
  <c r="AH12" i="19"/>
  <c r="AH5" i="19"/>
  <c r="AE6" i="19"/>
  <c r="AE7" i="19"/>
  <c r="AE8" i="19"/>
  <c r="AE9" i="19"/>
  <c r="AE10" i="19"/>
  <c r="AE11" i="19"/>
  <c r="AE12" i="19"/>
  <c r="AE5" i="19"/>
  <c r="AB6" i="19"/>
  <c r="AB7" i="19"/>
  <c r="AB8" i="19"/>
  <c r="AB9" i="19"/>
  <c r="AB10" i="19"/>
  <c r="AB11" i="19"/>
  <c r="AB12" i="19"/>
  <c r="AB5" i="19"/>
  <c r="Y6" i="19"/>
  <c r="Y7" i="19"/>
  <c r="Y8" i="19"/>
  <c r="Y9" i="19"/>
  <c r="Y10" i="19"/>
  <c r="Y11" i="19"/>
  <c r="Y12" i="19"/>
  <c r="Y5" i="19"/>
  <c r="V6" i="19"/>
  <c r="V7" i="19"/>
  <c r="V8" i="19"/>
  <c r="V9" i="19"/>
  <c r="V10" i="19"/>
  <c r="V11" i="19"/>
  <c r="V12" i="19"/>
  <c r="V5" i="19"/>
  <c r="S6" i="19"/>
  <c r="S7" i="19"/>
  <c r="S8" i="19"/>
  <c r="S9" i="19"/>
  <c r="S10" i="19"/>
  <c r="S11" i="19"/>
  <c r="S12" i="19"/>
  <c r="S5" i="19"/>
  <c r="P6" i="19"/>
  <c r="P7" i="19"/>
  <c r="P8" i="19"/>
  <c r="P9" i="19"/>
  <c r="P10" i="19"/>
  <c r="P11" i="19"/>
  <c r="P12" i="19"/>
  <c r="P5" i="19"/>
  <c r="M6" i="19"/>
  <c r="M7" i="19"/>
  <c r="M8" i="19"/>
  <c r="M9" i="19"/>
  <c r="M10" i="19"/>
  <c r="M11" i="19"/>
  <c r="M12" i="19"/>
  <c r="M5" i="19"/>
  <c r="J6" i="19"/>
  <c r="J7" i="19"/>
  <c r="J8" i="19"/>
  <c r="J9" i="19"/>
  <c r="J10" i="19"/>
  <c r="J11" i="19"/>
  <c r="J12" i="19"/>
  <c r="J5" i="19"/>
  <c r="G6" i="19"/>
  <c r="G7" i="19"/>
  <c r="G8" i="19"/>
  <c r="G9" i="19"/>
  <c r="G10" i="19"/>
  <c r="G11" i="19"/>
  <c r="G12" i="19"/>
  <c r="G5" i="19"/>
  <c r="AO6" i="20"/>
  <c r="AP6" i="20"/>
  <c r="AO7" i="20"/>
  <c r="AP7" i="20"/>
  <c r="AO9" i="20"/>
  <c r="AP9" i="20"/>
  <c r="AO10" i="20"/>
  <c r="AP10" i="20"/>
  <c r="AP5" i="20"/>
  <c r="AO5" i="20"/>
  <c r="AQ56" i="20"/>
  <c r="AP56" i="20"/>
  <c r="AO56" i="20"/>
  <c r="AQ45" i="20"/>
  <c r="AP45" i="20"/>
  <c r="AO45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R27" i="20"/>
  <c r="Q27" i="20"/>
  <c r="O27" i="20"/>
  <c r="N27" i="20"/>
  <c r="L27" i="20"/>
  <c r="K27" i="20"/>
  <c r="J27" i="20"/>
  <c r="I27" i="20"/>
  <c r="H27" i="20"/>
  <c r="F27" i="20"/>
  <c r="E27" i="20"/>
  <c r="G27" i="20"/>
  <c r="S27" i="20"/>
  <c r="P27" i="20"/>
  <c r="M27" i="20"/>
  <c r="AO10" i="19"/>
  <c r="AP10" i="19"/>
  <c r="AO12" i="19"/>
  <c r="AP12" i="19"/>
  <c r="AN7" i="18"/>
  <c r="AK7" i="18"/>
  <c r="AN6" i="18"/>
  <c r="AK6" i="18"/>
  <c r="AH6" i="18"/>
  <c r="AH7" i="18"/>
  <c r="AH5" i="18"/>
  <c r="AE6" i="18"/>
  <c r="AE7" i="18"/>
  <c r="AE5" i="18"/>
  <c r="AB6" i="18"/>
  <c r="AB7" i="18"/>
  <c r="AB5" i="18"/>
  <c r="Y6" i="18"/>
  <c r="Y7" i="18"/>
  <c r="Y5" i="18"/>
  <c r="V6" i="18"/>
  <c r="V7" i="18"/>
  <c r="V5" i="18"/>
  <c r="S6" i="18"/>
  <c r="S7" i="18"/>
  <c r="S5" i="18"/>
  <c r="P6" i="18"/>
  <c r="P7" i="18"/>
  <c r="P5" i="18"/>
  <c r="M6" i="18"/>
  <c r="M7" i="18"/>
  <c r="M5" i="18"/>
  <c r="J6" i="18"/>
  <c r="J7" i="18"/>
  <c r="J5" i="18"/>
  <c r="AO6" i="19"/>
  <c r="AP6" i="19"/>
  <c r="AO7" i="19"/>
  <c r="AP7" i="19"/>
  <c r="AO8" i="19"/>
  <c r="AP8" i="19"/>
  <c r="AO9" i="19"/>
  <c r="AP9" i="19"/>
  <c r="AO11" i="19"/>
  <c r="AP11" i="19"/>
  <c r="AP5" i="19"/>
  <c r="AO5" i="19"/>
  <c r="AQ51" i="19"/>
  <c r="AP51" i="19"/>
  <c r="AO51" i="19"/>
  <c r="AQ40" i="19"/>
  <c r="AP40" i="19"/>
  <c r="AO40" i="19"/>
  <c r="I13" i="19"/>
  <c r="F6" i="27" s="1"/>
  <c r="H13" i="19"/>
  <c r="H25" i="19" s="1"/>
  <c r="F13" i="19"/>
  <c r="E13" i="19"/>
  <c r="E25" i="19" s="1"/>
  <c r="AO6" i="18"/>
  <c r="G5" i="18"/>
  <c r="G8" i="18" s="1"/>
  <c r="E7" i="27" s="1"/>
  <c r="AP6" i="18"/>
  <c r="AO7" i="18"/>
  <c r="AP7" i="18"/>
  <c r="AP5" i="18"/>
  <c r="AQ46" i="18"/>
  <c r="AP46" i="18"/>
  <c r="AO46" i="18"/>
  <c r="AQ35" i="18"/>
  <c r="AP35" i="18"/>
  <c r="AO35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W20" i="18" s="1"/>
  <c r="V19" i="18"/>
  <c r="U19" i="18"/>
  <c r="T19" i="18"/>
  <c r="T20" i="18" s="1"/>
  <c r="S19" i="18"/>
  <c r="R19" i="18"/>
  <c r="Q19" i="18"/>
  <c r="P19" i="18"/>
  <c r="O19" i="18"/>
  <c r="N19" i="18"/>
  <c r="M19" i="18"/>
  <c r="L19" i="18"/>
  <c r="K19" i="18"/>
  <c r="J19" i="18"/>
  <c r="I19" i="18"/>
  <c r="H19" i="18"/>
  <c r="F19" i="18"/>
  <c r="E19" i="18"/>
  <c r="G17" i="18"/>
  <c r="G16" i="18"/>
  <c r="G15" i="18"/>
  <c r="G14" i="18"/>
  <c r="G6" i="17"/>
  <c r="AQ6" i="17" s="1"/>
  <c r="G7" i="17"/>
  <c r="AQ7" i="17" s="1"/>
  <c r="G8" i="17"/>
  <c r="AQ8" i="17" s="1"/>
  <c r="G9" i="17"/>
  <c r="AQ9" i="17" s="1"/>
  <c r="G10" i="17"/>
  <c r="AQ10" i="17" s="1"/>
  <c r="G11" i="17"/>
  <c r="AQ11" i="17" s="1"/>
  <c r="G12" i="17"/>
  <c r="AQ12" i="17" s="1"/>
  <c r="G13" i="17"/>
  <c r="AQ13" i="17" s="1"/>
  <c r="G14" i="17"/>
  <c r="AQ14" i="17" s="1"/>
  <c r="AQ15" i="17"/>
  <c r="G16" i="17"/>
  <c r="AQ16" i="17" s="1"/>
  <c r="G17" i="17"/>
  <c r="G29" i="17" s="1"/>
  <c r="G5" i="17"/>
  <c r="AQ5" i="17" s="1"/>
  <c r="K18" i="17"/>
  <c r="AP13" i="17"/>
  <c r="AO7" i="17"/>
  <c r="AP7" i="17"/>
  <c r="AO14" i="17"/>
  <c r="AP14" i="17"/>
  <c r="AO15" i="17"/>
  <c r="AP15" i="17"/>
  <c r="AO16" i="17"/>
  <c r="AP16" i="17"/>
  <c r="AO17" i="17"/>
  <c r="AO29" i="17" s="1"/>
  <c r="AP17" i="17"/>
  <c r="AO6" i="17"/>
  <c r="AP6" i="17"/>
  <c r="AO8" i="17"/>
  <c r="AP8" i="17"/>
  <c r="AO9" i="17"/>
  <c r="AP9" i="17"/>
  <c r="AO10" i="17"/>
  <c r="AP10" i="17"/>
  <c r="AO11" i="17"/>
  <c r="AP11" i="17"/>
  <c r="AO12" i="17"/>
  <c r="AP12" i="17"/>
  <c r="AP5" i="17"/>
  <c r="AO5" i="17"/>
  <c r="AQ64" i="17"/>
  <c r="AP64" i="17"/>
  <c r="AO64" i="17"/>
  <c r="AQ53" i="17"/>
  <c r="AP53" i="17"/>
  <c r="AO53" i="17"/>
  <c r="I18" i="17"/>
  <c r="F5" i="27" s="1"/>
  <c r="H18" i="17"/>
  <c r="F18" i="17"/>
  <c r="D5" i="27" s="1"/>
  <c r="E18" i="17"/>
  <c r="AO6" i="16"/>
  <c r="AP6" i="16"/>
  <c r="AO7" i="16"/>
  <c r="AP7" i="16"/>
  <c r="AO8" i="16"/>
  <c r="AP8" i="16"/>
  <c r="AO9" i="16"/>
  <c r="AP9" i="16"/>
  <c r="AO10" i="16"/>
  <c r="AP10" i="16"/>
  <c r="AO11" i="16"/>
  <c r="AP11" i="16"/>
  <c r="AO12" i="16"/>
  <c r="AP12" i="16"/>
  <c r="AO13" i="16"/>
  <c r="AP13" i="16"/>
  <c r="AO14" i="16"/>
  <c r="AP14" i="16"/>
  <c r="AO15" i="16"/>
  <c r="AP15" i="16"/>
  <c r="AO16" i="16"/>
  <c r="AP16" i="16"/>
  <c r="AO17" i="16"/>
  <c r="AP17" i="16"/>
  <c r="AO18" i="16"/>
  <c r="AP18" i="16"/>
  <c r="AN6" i="16"/>
  <c r="AN7" i="16"/>
  <c r="AN8" i="16"/>
  <c r="AN9" i="16"/>
  <c r="AN10" i="16"/>
  <c r="AN11" i="16"/>
  <c r="AN12" i="16"/>
  <c r="AN14" i="16"/>
  <c r="AN15" i="16"/>
  <c r="AN16" i="16"/>
  <c r="AN17" i="16"/>
  <c r="AN18" i="16"/>
  <c r="AN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5" i="16"/>
  <c r="AE6" i="16"/>
  <c r="AE7" i="16"/>
  <c r="AE8" i="16"/>
  <c r="AE9" i="16"/>
  <c r="AE10" i="16"/>
  <c r="AE11" i="16"/>
  <c r="AE12" i="16"/>
  <c r="AE13" i="16"/>
  <c r="AE14" i="16"/>
  <c r="AE15" i="16"/>
  <c r="AE16" i="16"/>
  <c r="AE17" i="16"/>
  <c r="AE18" i="16"/>
  <c r="AE5" i="16"/>
  <c r="AB6" i="16"/>
  <c r="AB7" i="16"/>
  <c r="AB8" i="16"/>
  <c r="AB9" i="16"/>
  <c r="AB10" i="16"/>
  <c r="AB11" i="16"/>
  <c r="AB12" i="16"/>
  <c r="AB13" i="16"/>
  <c r="AB14" i="16"/>
  <c r="AB15" i="16"/>
  <c r="AB16" i="16"/>
  <c r="AB17" i="16"/>
  <c r="AB18" i="16"/>
  <c r="AB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5" i="16"/>
  <c r="J6" i="16"/>
  <c r="J7" i="16"/>
  <c r="J9" i="16"/>
  <c r="J10" i="16"/>
  <c r="J11" i="16"/>
  <c r="J12" i="16"/>
  <c r="J13" i="16"/>
  <c r="J14" i="16"/>
  <c r="J15" i="16"/>
  <c r="J16" i="16"/>
  <c r="J17" i="16"/>
  <c r="J18" i="16"/>
  <c r="J5" i="16"/>
  <c r="G7" i="16"/>
  <c r="G11" i="16"/>
  <c r="G12" i="16"/>
  <c r="G13" i="16"/>
  <c r="G14" i="16"/>
  <c r="G15" i="16"/>
  <c r="G16" i="16"/>
  <c r="G17" i="16"/>
  <c r="G18" i="16"/>
  <c r="AP5" i="16"/>
  <c r="AO5" i="16"/>
  <c r="AQ65" i="16"/>
  <c r="AP65" i="16"/>
  <c r="AO65" i="16"/>
  <c r="AQ56" i="16"/>
  <c r="AP56" i="16"/>
  <c r="AO56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P28" i="16"/>
  <c r="O28" i="16"/>
  <c r="N28" i="16"/>
  <c r="M28" i="16"/>
  <c r="L28" i="16"/>
  <c r="K28" i="16"/>
  <c r="J28" i="16"/>
  <c r="I28" i="16"/>
  <c r="H28" i="16"/>
  <c r="H29" i="16" s="1"/>
  <c r="F28" i="16"/>
  <c r="E28" i="16"/>
  <c r="G28" i="16"/>
  <c r="S28" i="16"/>
  <c r="E19" i="16"/>
  <c r="J39" i="16"/>
  <c r="M39" i="16"/>
  <c r="P39" i="16"/>
  <c r="S39" i="16"/>
  <c r="J40" i="16"/>
  <c r="M40" i="16"/>
  <c r="P40" i="16"/>
  <c r="S40" i="16"/>
  <c r="J41" i="16"/>
  <c r="M41" i="16"/>
  <c r="P41" i="16"/>
  <c r="S41" i="16"/>
  <c r="G42" i="16"/>
  <c r="J42" i="16"/>
  <c r="M42" i="16"/>
  <c r="P42" i="16"/>
  <c r="S42" i="16"/>
  <c r="G43" i="16"/>
  <c r="J43" i="16"/>
  <c r="M43" i="16"/>
  <c r="P43" i="16"/>
  <c r="S43" i="16"/>
  <c r="J44" i="16"/>
  <c r="M44" i="16"/>
  <c r="P44" i="16"/>
  <c r="S44" i="16"/>
  <c r="J45" i="16"/>
  <c r="M45" i="16"/>
  <c r="P45" i="16"/>
  <c r="S45" i="16"/>
  <c r="J46" i="16"/>
  <c r="M46" i="16"/>
  <c r="P46" i="16"/>
  <c r="S46" i="16"/>
  <c r="J47" i="16"/>
  <c r="M47" i="16"/>
  <c r="P47" i="16"/>
  <c r="S47" i="16"/>
  <c r="J49" i="16"/>
  <c r="M49" i="16"/>
  <c r="P49" i="16"/>
  <c r="S49" i="16"/>
  <c r="J50" i="16"/>
  <c r="M50" i="16"/>
  <c r="P50" i="16"/>
  <c r="S50" i="16"/>
  <c r="J51" i="16"/>
  <c r="M51" i="16"/>
  <c r="P51" i="16"/>
  <c r="S51" i="16"/>
  <c r="J53" i="16"/>
  <c r="M53" i="16"/>
  <c r="P53" i="16"/>
  <c r="S53" i="16"/>
  <c r="J54" i="16"/>
  <c r="M54" i="16"/>
  <c r="P54" i="16"/>
  <c r="S54" i="16"/>
  <c r="AQ70" i="21" l="1"/>
  <c r="AN8" i="18"/>
  <c r="AA7" i="27" s="1"/>
  <c r="AQ66" i="16"/>
  <c r="V9" i="22"/>
  <c r="O10" i="27" s="1"/>
  <c r="M9" i="22"/>
  <c r="I10" i="27" s="1"/>
  <c r="AB9" i="22"/>
  <c r="S10" i="27" s="1"/>
  <c r="AN9" i="22"/>
  <c r="AA10" i="27" s="1"/>
  <c r="AO35" i="26"/>
  <c r="AO8" i="18"/>
  <c r="AO20" i="18" s="1"/>
  <c r="M11" i="25"/>
  <c r="I13" i="27" s="1"/>
  <c r="J8" i="24"/>
  <c r="G12" i="27" s="1"/>
  <c r="V8" i="24"/>
  <c r="O12" i="27" s="1"/>
  <c r="J8" i="23"/>
  <c r="G11" i="27" s="1"/>
  <c r="V8" i="23"/>
  <c r="O11" i="27" s="1"/>
  <c r="AH8" i="23"/>
  <c r="W11" i="27" s="1"/>
  <c r="AQ17" i="17"/>
  <c r="AQ29" i="17" s="1"/>
  <c r="AO46" i="22"/>
  <c r="AP8" i="18"/>
  <c r="J8" i="18"/>
  <c r="G7" i="27" s="1"/>
  <c r="V8" i="18"/>
  <c r="O7" i="27" s="1"/>
  <c r="AO8" i="23"/>
  <c r="G8" i="24"/>
  <c r="S8" i="24"/>
  <c r="M12" i="27" s="1"/>
  <c r="G19" i="23"/>
  <c r="G20" i="23" s="1"/>
  <c r="M8" i="23"/>
  <c r="I11" i="27" s="1"/>
  <c r="Y8" i="23"/>
  <c r="Q11" i="27" s="1"/>
  <c r="AQ6" i="25"/>
  <c r="AO9" i="22"/>
  <c r="AO21" i="22" s="1"/>
  <c r="AH19" i="16"/>
  <c r="W4" i="27" s="1"/>
  <c r="P8" i="18"/>
  <c r="K7" i="27" s="1"/>
  <c r="E20" i="23"/>
  <c r="G19" i="16"/>
  <c r="E4" i="27" s="1"/>
  <c r="G11" i="25"/>
  <c r="E13" i="27" s="1"/>
  <c r="AH11" i="25"/>
  <c r="W13" i="27" s="1"/>
  <c r="J16" i="20"/>
  <c r="G8" i="27" s="1"/>
  <c r="AQ5" i="23"/>
  <c r="S8" i="23"/>
  <c r="M11" i="27" s="1"/>
  <c r="AQ8" i="16"/>
  <c r="AB8" i="18"/>
  <c r="S7" i="27" s="1"/>
  <c r="V11" i="25"/>
  <c r="O13" i="27" s="1"/>
  <c r="S8" i="18"/>
  <c r="M7" i="27" s="1"/>
  <c r="AE8" i="18"/>
  <c r="U7" i="27" s="1"/>
  <c r="AQ46" i="22"/>
  <c r="Y9" i="22"/>
  <c r="Q10" i="27" s="1"/>
  <c r="G9" i="22"/>
  <c r="E10" i="27" s="1"/>
  <c r="P9" i="22"/>
  <c r="K10" i="27" s="1"/>
  <c r="AQ9" i="25"/>
  <c r="AB11" i="25"/>
  <c r="S13" i="27" s="1"/>
  <c r="AK11" i="25"/>
  <c r="Y13" i="27" s="1"/>
  <c r="AN16" i="20"/>
  <c r="AA8" i="27" s="1"/>
  <c r="AH9" i="22"/>
  <c r="W10" i="27" s="1"/>
  <c r="M8" i="24"/>
  <c r="I12" i="27" s="1"/>
  <c r="P11" i="25"/>
  <c r="K13" i="27" s="1"/>
  <c r="AK8" i="23"/>
  <c r="Y11" i="27" s="1"/>
  <c r="J11" i="25"/>
  <c r="G13" i="27" s="1"/>
  <c r="AE9" i="22"/>
  <c r="U10" i="27" s="1"/>
  <c r="J9" i="22"/>
  <c r="G10" i="27" s="1"/>
  <c r="S9" i="22"/>
  <c r="M10" i="27" s="1"/>
  <c r="AK9" i="22"/>
  <c r="Y10" i="27" s="1"/>
  <c r="AN8" i="23"/>
  <c r="AA11" i="27" s="1"/>
  <c r="P8" i="24"/>
  <c r="K12" i="27" s="1"/>
  <c r="AQ10" i="25"/>
  <c r="AH8" i="18"/>
  <c r="W7" i="27" s="1"/>
  <c r="P8" i="23"/>
  <c r="AB8" i="23"/>
  <c r="S11" i="27" s="1"/>
  <c r="AE11" i="25"/>
  <c r="U13" i="27" s="1"/>
  <c r="AN11" i="25"/>
  <c r="AA13" i="27" s="1"/>
  <c r="Y19" i="16"/>
  <c r="Q4" i="27" s="1"/>
  <c r="M8" i="18"/>
  <c r="I7" i="27" s="1"/>
  <c r="Y8" i="18"/>
  <c r="Q7" i="27" s="1"/>
  <c r="AK8" i="18"/>
  <c r="Y7" i="27" s="1"/>
  <c r="AP9" i="22"/>
  <c r="AP8" i="23"/>
  <c r="S11" i="25"/>
  <c r="M13" i="27" s="1"/>
  <c r="M19" i="16"/>
  <c r="I4" i="27" s="1"/>
  <c r="AB19" i="16"/>
  <c r="S4" i="27" s="1"/>
  <c r="AK19" i="16"/>
  <c r="Y4" i="27" s="1"/>
  <c r="J19" i="16"/>
  <c r="G4" i="27" s="1"/>
  <c r="S19" i="16"/>
  <c r="M4" i="27" s="1"/>
  <c r="V19" i="16"/>
  <c r="O4" i="27" s="1"/>
  <c r="AE19" i="16"/>
  <c r="U4" i="27" s="1"/>
  <c r="P19" i="16"/>
  <c r="K4" i="27" s="1"/>
  <c r="AQ6" i="26"/>
  <c r="AQ8" i="26" s="1"/>
  <c r="AN8" i="26"/>
  <c r="AA14" i="27" s="1"/>
  <c r="AC14" i="27" s="1"/>
  <c r="AE14" i="27" s="1"/>
  <c r="AO8" i="26"/>
  <c r="AP8" i="26"/>
  <c r="AP8" i="24"/>
  <c r="AO8" i="24"/>
  <c r="G16" i="20"/>
  <c r="E8" i="27" s="1"/>
  <c r="V16" i="20"/>
  <c r="O8" i="27" s="1"/>
  <c r="S16" i="20"/>
  <c r="M8" i="27" s="1"/>
  <c r="AK16" i="20"/>
  <c r="Y8" i="27" s="1"/>
  <c r="AE16" i="20"/>
  <c r="U8" i="27" s="1"/>
  <c r="Y16" i="20"/>
  <c r="Q8" i="27" s="1"/>
  <c r="P16" i="20"/>
  <c r="K8" i="27" s="1"/>
  <c r="AH16" i="20"/>
  <c r="W8" i="27" s="1"/>
  <c r="AP16" i="20"/>
  <c r="AB16" i="20"/>
  <c r="S8" i="27" s="1"/>
  <c r="AO16" i="20"/>
  <c r="AO28" i="20" s="1"/>
  <c r="AQ7" i="20"/>
  <c r="M16" i="20"/>
  <c r="I8" i="27" s="1"/>
  <c r="AO66" i="16"/>
  <c r="D6" i="27"/>
  <c r="D16" i="27" s="1"/>
  <c r="F25" i="19"/>
  <c r="Y13" i="19"/>
  <c r="P13" i="19"/>
  <c r="AN13" i="19"/>
  <c r="AQ5" i="19"/>
  <c r="M13" i="19"/>
  <c r="V13" i="19"/>
  <c r="AE13" i="19"/>
  <c r="AO13" i="19"/>
  <c r="AO25" i="19" s="1"/>
  <c r="AP13" i="19"/>
  <c r="S13" i="19"/>
  <c r="AB13" i="19"/>
  <c r="AK13" i="19"/>
  <c r="AH13" i="19"/>
  <c r="AQ52" i="19"/>
  <c r="AO65" i="17"/>
  <c r="Y11" i="25"/>
  <c r="Q13" i="27" s="1"/>
  <c r="AQ8" i="25"/>
  <c r="AQ6" i="20"/>
  <c r="L21" i="22"/>
  <c r="AQ5" i="25"/>
  <c r="AO36" i="25"/>
  <c r="I29" i="16"/>
  <c r="F16" i="27"/>
  <c r="F29" i="16"/>
  <c r="AO70" i="21"/>
  <c r="AQ5" i="21"/>
  <c r="AQ7" i="21" s="1"/>
  <c r="G21" i="22"/>
  <c r="AQ8" i="20"/>
  <c r="AQ11" i="20"/>
  <c r="AQ12" i="20"/>
  <c r="AQ10" i="20"/>
  <c r="AO52" i="19"/>
  <c r="N20" i="18"/>
  <c r="E8" i="18"/>
  <c r="E20" i="18" s="1"/>
  <c r="AQ47" i="18"/>
  <c r="AE20" i="18"/>
  <c r="K20" i="18"/>
  <c r="AO47" i="18"/>
  <c r="AQ18" i="16"/>
  <c r="AQ5" i="16"/>
  <c r="AQ16" i="16"/>
  <c r="AQ15" i="16"/>
  <c r="AQ9" i="16"/>
  <c r="AQ6" i="16"/>
  <c r="AQ13" i="16"/>
  <c r="AQ11" i="16"/>
  <c r="AQ12" i="16"/>
  <c r="AQ14" i="16"/>
  <c r="AQ10" i="16"/>
  <c r="AQ17" i="16"/>
  <c r="AN19" i="16"/>
  <c r="AA4" i="27" s="1"/>
  <c r="AO19" i="16"/>
  <c r="AO29" i="16" s="1"/>
  <c r="AP19" i="16"/>
  <c r="M23" i="26"/>
  <c r="G23" i="26"/>
  <c r="J23" i="26"/>
  <c r="AO67" i="24"/>
  <c r="AQ67" i="24"/>
  <c r="AQ7" i="24"/>
  <c r="AQ6" i="24"/>
  <c r="AQ5" i="24"/>
  <c r="AQ7" i="23"/>
  <c r="AQ6" i="23"/>
  <c r="S20" i="23"/>
  <c r="AE20" i="23"/>
  <c r="K20" i="23"/>
  <c r="H20" i="23"/>
  <c r="AO79" i="23"/>
  <c r="L20" i="23"/>
  <c r="AH20" i="23"/>
  <c r="AQ79" i="23"/>
  <c r="AI20" i="23"/>
  <c r="AO20" i="23"/>
  <c r="F20" i="23"/>
  <c r="T20" i="23"/>
  <c r="W20" i="23"/>
  <c r="AF20" i="23"/>
  <c r="AQ8" i="22"/>
  <c r="AQ6" i="22"/>
  <c r="Z21" i="22"/>
  <c r="W21" i="22"/>
  <c r="AQ7" i="22"/>
  <c r="V21" i="22"/>
  <c r="AQ5" i="22"/>
  <c r="Y21" i="22"/>
  <c r="T21" i="22"/>
  <c r="AF21" i="22"/>
  <c r="N21" i="22"/>
  <c r="Q21" i="22"/>
  <c r="O21" i="22"/>
  <c r="AL21" i="22"/>
  <c r="AI21" i="22"/>
  <c r="AB21" i="22"/>
  <c r="AC21" i="22"/>
  <c r="AE21" i="22"/>
  <c r="E21" i="22"/>
  <c r="F21" i="22"/>
  <c r="M21" i="22"/>
  <c r="H21" i="22"/>
  <c r="I21" i="22"/>
  <c r="K21" i="22"/>
  <c r="AQ5" i="20"/>
  <c r="AQ13" i="20"/>
  <c r="AQ14" i="20"/>
  <c r="AQ15" i="20"/>
  <c r="AQ9" i="20"/>
  <c r="AO57" i="20"/>
  <c r="T28" i="20"/>
  <c r="AF28" i="20"/>
  <c r="F28" i="20"/>
  <c r="W28" i="20"/>
  <c r="AI28" i="20"/>
  <c r="AL28" i="20"/>
  <c r="Z28" i="20"/>
  <c r="E28" i="20"/>
  <c r="H28" i="20"/>
  <c r="I28" i="20"/>
  <c r="AQ57" i="20"/>
  <c r="AC28" i="20"/>
  <c r="AQ7" i="19"/>
  <c r="AQ8" i="19"/>
  <c r="AQ6" i="19"/>
  <c r="AQ10" i="19"/>
  <c r="AQ12" i="19"/>
  <c r="AQ9" i="19"/>
  <c r="AQ11" i="19"/>
  <c r="K28" i="20"/>
  <c r="L28" i="20"/>
  <c r="N28" i="20"/>
  <c r="O28" i="20"/>
  <c r="Q28" i="20"/>
  <c r="AH20" i="18"/>
  <c r="AQ5" i="18"/>
  <c r="AQ6" i="18"/>
  <c r="AQ7" i="18"/>
  <c r="J13" i="19"/>
  <c r="G13" i="19"/>
  <c r="Z20" i="18"/>
  <c r="AL20" i="18"/>
  <c r="AN20" i="18"/>
  <c r="AC20" i="18"/>
  <c r="G19" i="18"/>
  <c r="Q20" i="18"/>
  <c r="V20" i="18"/>
  <c r="F20" i="18"/>
  <c r="AI20" i="18"/>
  <c r="H20" i="18"/>
  <c r="AF20" i="18"/>
  <c r="AP18" i="17"/>
  <c r="AO18" i="17"/>
  <c r="AQ65" i="17"/>
  <c r="G18" i="17"/>
  <c r="E5" i="27" s="1"/>
  <c r="J18" i="17"/>
  <c r="G5" i="27" s="1"/>
  <c r="AF29" i="16"/>
  <c r="AQ7" i="16"/>
  <c r="W29" i="16"/>
  <c r="Z29" i="16"/>
  <c r="AI29" i="16"/>
  <c r="AC29" i="16"/>
  <c r="AL29" i="16"/>
  <c r="T29" i="16"/>
  <c r="R29" i="16"/>
  <c r="K29" i="16"/>
  <c r="L29" i="16"/>
  <c r="N29" i="16"/>
  <c r="O29" i="16"/>
  <c r="Q29" i="16"/>
  <c r="E29" i="16"/>
  <c r="BE4" i="27"/>
  <c r="BG4" i="27" s="1"/>
  <c r="AB5" i="27"/>
  <c r="AD5" i="27" s="1"/>
  <c r="AB7" i="27"/>
  <c r="AD7" i="27" s="1"/>
  <c r="AB8" i="27"/>
  <c r="AD8" i="27" s="1"/>
  <c r="AB9" i="27"/>
  <c r="AD9" i="27" s="1"/>
  <c r="AC9" i="27"/>
  <c r="AE9" i="27" s="1"/>
  <c r="AB10" i="27"/>
  <c r="AD10" i="27" s="1"/>
  <c r="AB11" i="27"/>
  <c r="AD11" i="27" s="1"/>
  <c r="AB12" i="27"/>
  <c r="AD12" i="27" s="1"/>
  <c r="AB13" i="27"/>
  <c r="AD13" i="27" s="1"/>
  <c r="AB14" i="27"/>
  <c r="AD14" i="27" s="1"/>
  <c r="AB15" i="27"/>
  <c r="AC15" i="27"/>
  <c r="H16" i="27"/>
  <c r="J16" i="27"/>
  <c r="L16" i="27"/>
  <c r="N16" i="27"/>
  <c r="P16" i="27"/>
  <c r="R16" i="27"/>
  <c r="T16" i="27"/>
  <c r="V16" i="27"/>
  <c r="X16" i="27"/>
  <c r="Z16" i="27"/>
  <c r="AF16" i="27"/>
  <c r="AG16" i="27"/>
  <c r="AH16" i="27"/>
  <c r="AI16" i="27"/>
  <c r="AJ16" i="27"/>
  <c r="AK16" i="27"/>
  <c r="AL16" i="27"/>
  <c r="AM16" i="27"/>
  <c r="AN16" i="27"/>
  <c r="AO16" i="27"/>
  <c r="AP16" i="27"/>
  <c r="AQ16" i="27"/>
  <c r="AR16" i="27"/>
  <c r="AS16" i="27"/>
  <c r="AX16" i="27"/>
  <c r="AY16" i="27"/>
  <c r="BA16" i="27"/>
  <c r="AB20" i="27"/>
  <c r="AD20" i="27" s="1"/>
  <c r="AC20" i="27"/>
  <c r="AE20" i="27" s="1"/>
  <c r="BD20" i="27"/>
  <c r="BF20" i="27" s="1"/>
  <c r="BE20" i="27"/>
  <c r="BG20" i="27" s="1"/>
  <c r="AB21" i="27"/>
  <c r="AD21" i="27" s="1"/>
  <c r="AC21" i="27"/>
  <c r="AE21" i="27" s="1"/>
  <c r="BD21" i="27"/>
  <c r="BF21" i="27" s="1"/>
  <c r="BE21" i="27"/>
  <c r="BG21" i="27" s="1"/>
  <c r="AB22" i="27"/>
  <c r="AD22" i="27" s="1"/>
  <c r="AC22" i="27"/>
  <c r="AE22" i="27" s="1"/>
  <c r="BD22" i="27"/>
  <c r="BF22" i="27" s="1"/>
  <c r="BE22" i="27"/>
  <c r="BG22" i="27" s="1"/>
  <c r="AB23" i="27"/>
  <c r="AD23" i="27" s="1"/>
  <c r="AC23" i="27"/>
  <c r="AE23" i="27" s="1"/>
  <c r="BD23" i="27"/>
  <c r="BF23" i="27" s="1"/>
  <c r="BE23" i="27"/>
  <c r="BG23" i="27" s="1"/>
  <c r="AB24" i="27"/>
  <c r="AD24" i="27" s="1"/>
  <c r="AC24" i="27"/>
  <c r="AE24" i="27" s="1"/>
  <c r="BD24" i="27"/>
  <c r="BF24" i="27" s="1"/>
  <c r="BE24" i="27"/>
  <c r="BG24" i="27" s="1"/>
  <c r="AB25" i="27"/>
  <c r="AD25" i="27" s="1"/>
  <c r="AC25" i="27"/>
  <c r="AE25" i="27" s="1"/>
  <c r="BD25" i="27"/>
  <c r="BF25" i="27" s="1"/>
  <c r="BE25" i="27"/>
  <c r="BG25" i="27" s="1"/>
  <c r="AB26" i="27"/>
  <c r="AD26" i="27" s="1"/>
  <c r="AC26" i="27"/>
  <c r="AE26" i="27" s="1"/>
  <c r="BD26" i="27"/>
  <c r="BF26" i="27" s="1"/>
  <c r="BE26" i="27"/>
  <c r="BG26" i="27" s="1"/>
  <c r="AB27" i="27"/>
  <c r="AD27" i="27" s="1"/>
  <c r="AC27" i="27"/>
  <c r="AE27" i="27" s="1"/>
  <c r="BD27" i="27"/>
  <c r="BF27" i="27" s="1"/>
  <c r="BE27" i="27"/>
  <c r="BG27" i="27" s="1"/>
  <c r="AB28" i="27"/>
  <c r="AD28" i="27" s="1"/>
  <c r="AC28" i="27"/>
  <c r="AE28" i="27" s="1"/>
  <c r="BD28" i="27"/>
  <c r="BF28" i="27" s="1"/>
  <c r="BE28" i="27"/>
  <c r="BG28" i="27" s="1"/>
  <c r="AB29" i="27"/>
  <c r="AD29" i="27" s="1"/>
  <c r="AC29" i="27"/>
  <c r="AE29" i="27" s="1"/>
  <c r="BD29" i="27"/>
  <c r="BF29" i="27" s="1"/>
  <c r="BE29" i="27"/>
  <c r="BG29" i="27" s="1"/>
  <c r="AB30" i="27"/>
  <c r="AD30" i="27" s="1"/>
  <c r="AC30" i="27"/>
  <c r="AE30" i="27" s="1"/>
  <c r="BD30" i="27"/>
  <c r="BF30" i="27" s="1"/>
  <c r="BE30" i="27"/>
  <c r="BG30" i="27" s="1"/>
  <c r="AB31" i="27"/>
  <c r="AC31" i="27"/>
  <c r="D32" i="27"/>
  <c r="D38" i="27" s="1"/>
  <c r="E32" i="27"/>
  <c r="E38" i="27" s="1"/>
  <c r="F32" i="27"/>
  <c r="F38" i="27" s="1"/>
  <c r="G32" i="27"/>
  <c r="G38" i="27" s="1"/>
  <c r="H32" i="27"/>
  <c r="H38" i="27" s="1"/>
  <c r="I32" i="27"/>
  <c r="I38" i="27" s="1"/>
  <c r="J32" i="27"/>
  <c r="J38" i="27" s="1"/>
  <c r="K32" i="27"/>
  <c r="K38" i="27" s="1"/>
  <c r="L32" i="27"/>
  <c r="M32" i="27"/>
  <c r="N32" i="27"/>
  <c r="N38" i="27" s="1"/>
  <c r="O32" i="27"/>
  <c r="O38" i="27" s="1"/>
  <c r="P32" i="27"/>
  <c r="P38" i="27" s="1"/>
  <c r="Q32" i="27"/>
  <c r="Q38" i="27" s="1"/>
  <c r="R32" i="27"/>
  <c r="R38" i="27" s="1"/>
  <c r="S32" i="27"/>
  <c r="S38" i="27" s="1"/>
  <c r="T32" i="27"/>
  <c r="T38" i="27" s="1"/>
  <c r="U32" i="27"/>
  <c r="U38" i="27" s="1"/>
  <c r="V32" i="27"/>
  <c r="V38" i="27" s="1"/>
  <c r="W32" i="27"/>
  <c r="W38" i="27" s="1"/>
  <c r="X32" i="27"/>
  <c r="Y32" i="27"/>
  <c r="Z32" i="27"/>
  <c r="Z38" i="27" s="1"/>
  <c r="AA32" i="27"/>
  <c r="AA38" i="27" s="1"/>
  <c r="AF32" i="27"/>
  <c r="AG32" i="27"/>
  <c r="AG38" i="27" s="1"/>
  <c r="AH32" i="27"/>
  <c r="AH38" i="27" s="1"/>
  <c r="AI32" i="27"/>
  <c r="AJ32" i="27"/>
  <c r="AK32" i="27"/>
  <c r="AL32" i="27"/>
  <c r="AL38" i="27" s="1"/>
  <c r="AM32" i="27"/>
  <c r="AM38" i="27" s="1"/>
  <c r="AN32" i="27"/>
  <c r="AN38" i="27" s="1"/>
  <c r="AO32" i="27"/>
  <c r="AO38" i="27" s="1"/>
  <c r="AP32" i="27"/>
  <c r="AP38" i="27" s="1"/>
  <c r="AQ32" i="27"/>
  <c r="AQ38" i="27" s="1"/>
  <c r="AR32" i="27"/>
  <c r="AR38" i="27" s="1"/>
  <c r="AS32" i="27"/>
  <c r="AS38" i="27" s="1"/>
  <c r="AV38" i="27"/>
  <c r="AV39" i="27" s="1"/>
  <c r="AW32" i="27"/>
  <c r="AW38" i="27" s="1"/>
  <c r="AX32" i="27"/>
  <c r="AX38" i="27" s="1"/>
  <c r="AY32" i="27"/>
  <c r="AY38" i="27" s="1"/>
  <c r="AZ32" i="27"/>
  <c r="BA32" i="27"/>
  <c r="BA38" i="27" s="1"/>
  <c r="BB32" i="27"/>
  <c r="BB38" i="27" s="1"/>
  <c r="BC32" i="27"/>
  <c r="BC38" i="27" s="1"/>
  <c r="AN21" i="22" l="1"/>
  <c r="AB20" i="18"/>
  <c r="AQ18" i="17"/>
  <c r="BG32" i="27"/>
  <c r="BG38" i="27" s="1"/>
  <c r="Y28" i="20"/>
  <c r="P21" i="22"/>
  <c r="AK21" i="22"/>
  <c r="AE29" i="16"/>
  <c r="S28" i="20"/>
  <c r="BD32" i="27"/>
  <c r="BD38" i="27" s="1"/>
  <c r="AZ38" i="27"/>
  <c r="AZ37" i="27"/>
  <c r="AF37" i="27"/>
  <c r="AB6" i="27"/>
  <c r="AD6" i="27" s="1"/>
  <c r="J20" i="23"/>
  <c r="AX37" i="27"/>
  <c r="AX39" i="27" s="1"/>
  <c r="AX41" i="27" s="1"/>
  <c r="Y29" i="16"/>
  <c r="BF32" i="27"/>
  <c r="P20" i="18"/>
  <c r="V20" i="23"/>
  <c r="AK20" i="23"/>
  <c r="Y20" i="18"/>
  <c r="V28" i="20"/>
  <c r="S29" i="16"/>
  <c r="AC12" i="27"/>
  <c r="AE12" i="27" s="1"/>
  <c r="AE28" i="20"/>
  <c r="J20" i="18"/>
  <c r="S21" i="22"/>
  <c r="AH29" i="16"/>
  <c r="Y20" i="23"/>
  <c r="M20" i="23"/>
  <c r="AB29" i="16"/>
  <c r="AQ11" i="25"/>
  <c r="AC10" i="27"/>
  <c r="AE10" i="27" s="1"/>
  <c r="AK28" i="20"/>
  <c r="AW37" i="27"/>
  <c r="AB20" i="23"/>
  <c r="AN20" i="23"/>
  <c r="AQ8" i="24"/>
  <c r="AQ8" i="23"/>
  <c r="AH21" i="22"/>
  <c r="S20" i="18"/>
  <c r="AQ8" i="18"/>
  <c r="AE32" i="27"/>
  <c r="AE38" i="27" s="1"/>
  <c r="AQ9" i="22"/>
  <c r="AQ21" i="22" s="1"/>
  <c r="AD32" i="27"/>
  <c r="AD38" i="27" s="1"/>
  <c r="AN28" i="20"/>
  <c r="K11" i="27"/>
  <c r="AC11" i="27" s="1"/>
  <c r="AE11" i="27" s="1"/>
  <c r="P20" i="23"/>
  <c r="V29" i="16"/>
  <c r="AU37" i="27"/>
  <c r="AB28" i="20"/>
  <c r="AQ16" i="20"/>
  <c r="AQ28" i="20" s="1"/>
  <c r="P28" i="20"/>
  <c r="AH28" i="20"/>
  <c r="AS37" i="27"/>
  <c r="AS39" i="27" s="1"/>
  <c r="AS40" i="27" s="1"/>
  <c r="AQ37" i="27"/>
  <c r="AQ39" i="27" s="1"/>
  <c r="AQ40" i="27" s="1"/>
  <c r="AP37" i="27"/>
  <c r="AP39" i="27" s="1"/>
  <c r="AP40" i="27" s="1"/>
  <c r="E6" i="27"/>
  <c r="G25" i="19"/>
  <c r="U6" i="27"/>
  <c r="U16" i="27" s="1"/>
  <c r="U37" i="27" s="1"/>
  <c r="U39" i="27" s="1"/>
  <c r="U40" i="27" s="1"/>
  <c r="AE25" i="19"/>
  <c r="G6" i="27"/>
  <c r="G16" i="27" s="1"/>
  <c r="G37" i="27" s="1"/>
  <c r="G39" i="27" s="1"/>
  <c r="G41" i="27" s="1"/>
  <c r="J25" i="19"/>
  <c r="O6" i="27"/>
  <c r="O16" i="27" s="1"/>
  <c r="O37" i="27" s="1"/>
  <c r="O39" i="27" s="1"/>
  <c r="O41" i="27" s="1"/>
  <c r="V25" i="19"/>
  <c r="AA6" i="27"/>
  <c r="AA16" i="27" s="1"/>
  <c r="AN25" i="19"/>
  <c r="K6" i="27"/>
  <c r="P25" i="19"/>
  <c r="W6" i="27"/>
  <c r="W16" i="27" s="1"/>
  <c r="W37" i="27" s="1"/>
  <c r="W39" i="27" s="1"/>
  <c r="W41" i="27" s="1"/>
  <c r="AH25" i="19"/>
  <c r="Q6" i="27"/>
  <c r="Q16" i="27" s="1"/>
  <c r="Q37" i="27" s="1"/>
  <c r="Q39" i="27" s="1"/>
  <c r="Q41" i="27" s="1"/>
  <c r="Y25" i="19"/>
  <c r="M6" i="27"/>
  <c r="M16" i="27" s="1"/>
  <c r="S25" i="19"/>
  <c r="I6" i="27"/>
  <c r="I16" i="27" s="1"/>
  <c r="I37" i="27" s="1"/>
  <c r="I39" i="27" s="1"/>
  <c r="I41" i="27" s="1"/>
  <c r="M25" i="19"/>
  <c r="Y6" i="27"/>
  <c r="Y16" i="27" s="1"/>
  <c r="Y37" i="27" s="1"/>
  <c r="AK25" i="19"/>
  <c r="S6" i="27"/>
  <c r="S16" i="27" s="1"/>
  <c r="S37" i="27" s="1"/>
  <c r="S39" i="27" s="1"/>
  <c r="S41" i="27" s="1"/>
  <c r="AB25" i="19"/>
  <c r="AQ13" i="19"/>
  <c r="AQ25" i="19" s="1"/>
  <c r="AK37" i="27"/>
  <c r="AJ37" i="27"/>
  <c r="AG37" i="27"/>
  <c r="AG39" i="27" s="1"/>
  <c r="AG41" i="27" s="1"/>
  <c r="AI37" i="27"/>
  <c r="AC5" i="27"/>
  <c r="AE5" i="27" s="1"/>
  <c r="AN29" i="16"/>
  <c r="AK29" i="16"/>
  <c r="AK20" i="18"/>
  <c r="P29" i="16"/>
  <c r="M20" i="18"/>
  <c r="AC7" i="27"/>
  <c r="AE7" i="27" s="1"/>
  <c r="M29" i="16"/>
  <c r="M28" i="20"/>
  <c r="AJ38" i="27"/>
  <c r="AI38" i="27"/>
  <c r="AR37" i="27"/>
  <c r="BE32" i="27"/>
  <c r="BE38" i="27" s="1"/>
  <c r="AL37" i="27"/>
  <c r="AL39" i="27" s="1"/>
  <c r="AL40" i="27" s="1"/>
  <c r="N37" i="27"/>
  <c r="N39" i="27" s="1"/>
  <c r="N40" i="27" s="1"/>
  <c r="R37" i="27"/>
  <c r="R39" i="27" s="1"/>
  <c r="R40" i="27" s="1"/>
  <c r="Z37" i="27"/>
  <c r="Z39" i="27" s="1"/>
  <c r="Z40" i="27" s="1"/>
  <c r="AH37" i="27"/>
  <c r="AH39" i="27" s="1"/>
  <c r="AH40" i="27" s="1"/>
  <c r="J28" i="20"/>
  <c r="J21" i="22"/>
  <c r="AC13" i="27"/>
  <c r="AE13" i="27" s="1"/>
  <c r="AB4" i="27"/>
  <c r="J29" i="16"/>
  <c r="F37" i="27"/>
  <c r="F39" i="27" s="1"/>
  <c r="F40" i="27" s="1"/>
  <c r="G29" i="16"/>
  <c r="G28" i="20"/>
  <c r="AQ20" i="18"/>
  <c r="AQ19" i="16"/>
  <c r="AQ29" i="16" s="1"/>
  <c r="AQ20" i="23"/>
  <c r="G20" i="18"/>
  <c r="X37" i="27"/>
  <c r="J37" i="27"/>
  <c r="J39" i="27" s="1"/>
  <c r="J40" i="27" s="1"/>
  <c r="V37" i="27"/>
  <c r="V39" i="27" s="1"/>
  <c r="V41" i="27" s="1"/>
  <c r="L37" i="27"/>
  <c r="AO37" i="27"/>
  <c r="AO39" i="27" s="1"/>
  <c r="AO41" i="27" s="1"/>
  <c r="AF38" i="27"/>
  <c r="AB32" i="27"/>
  <c r="AB38" i="27" s="1"/>
  <c r="AY37" i="27"/>
  <c r="AY39" i="27" s="1"/>
  <c r="L38" i="27"/>
  <c r="P37" i="27"/>
  <c r="P39" i="27" s="1"/>
  <c r="P41" i="27" s="1"/>
  <c r="AM37" i="27"/>
  <c r="AM39" i="27" s="1"/>
  <c r="AM41" i="27" s="1"/>
  <c r="X38" i="27"/>
  <c r="AC32" i="27"/>
  <c r="AC38" i="27" s="1"/>
  <c r="BA37" i="27"/>
  <c r="BA39" i="27" s="1"/>
  <c r="BA41" i="27" s="1"/>
  <c r="T37" i="27"/>
  <c r="T39" i="27" s="1"/>
  <c r="T40" i="27" s="1"/>
  <c r="H37" i="27"/>
  <c r="H39" i="27" s="1"/>
  <c r="H41" i="27" s="1"/>
  <c r="AN37" i="27"/>
  <c r="AN39" i="27" s="1"/>
  <c r="AN41" i="27" s="1"/>
  <c r="D37" i="27"/>
  <c r="AT39" i="27"/>
  <c r="AT41" i="27" s="1"/>
  <c r="AK38" i="27"/>
  <c r="Y38" i="27"/>
  <c r="M38" i="27"/>
  <c r="F56" i="16"/>
  <c r="H56" i="16"/>
  <c r="I56" i="16"/>
  <c r="K56" i="16"/>
  <c r="L56" i="16"/>
  <c r="N56" i="16"/>
  <c r="O56" i="16"/>
  <c r="Q56" i="16"/>
  <c r="R56" i="16"/>
  <c r="E56" i="16"/>
  <c r="J42" i="20"/>
  <c r="CJ21" i="27" l="1"/>
  <c r="BF38" i="27"/>
  <c r="AZ39" i="27"/>
  <c r="AZ41" i="27" s="1"/>
  <c r="AJ39" i="27"/>
  <c r="AJ40" i="27" s="1"/>
  <c r="AV40" i="27"/>
  <c r="K16" i="27"/>
  <c r="K37" i="27" s="1"/>
  <c r="K39" i="27" s="1"/>
  <c r="K41" i="27" s="1"/>
  <c r="AY41" i="27"/>
  <c r="AY40" i="27"/>
  <c r="AU39" i="27"/>
  <c r="AU40" i="27" s="1"/>
  <c r="AI39" i="27"/>
  <c r="AI41" i="27" s="1"/>
  <c r="AT40" i="27"/>
  <c r="AS41" i="27"/>
  <c r="AR39" i="27"/>
  <c r="AR41" i="27" s="1"/>
  <c r="CJ28" i="27"/>
  <c r="CJ26" i="27"/>
  <c r="CJ30" i="27"/>
  <c r="CJ25" i="27"/>
  <c r="AC6" i="27"/>
  <c r="AE6" i="27" s="1"/>
  <c r="D39" i="27"/>
  <c r="D41" i="27" s="1"/>
  <c r="AD4" i="27"/>
  <c r="AB16" i="27"/>
  <c r="AB37" i="27" s="1"/>
  <c r="AK39" i="27"/>
  <c r="AK40" i="27" s="1"/>
  <c r="L39" i="27"/>
  <c r="L41" i="27" s="1"/>
  <c r="AA37" i="27"/>
  <c r="AA39" i="27" s="1"/>
  <c r="AA41" i="27" s="1"/>
  <c r="M37" i="27"/>
  <c r="M39" i="27" s="1"/>
  <c r="M40" i="27" s="1"/>
  <c r="CJ23" i="27"/>
  <c r="AF39" i="27"/>
  <c r="AF40" i="27" s="1"/>
  <c r="CJ20" i="27"/>
  <c r="CJ24" i="27"/>
  <c r="AQ41" i="27"/>
  <c r="CJ29" i="27"/>
  <c r="AX40" i="27"/>
  <c r="CJ27" i="27"/>
  <c r="AP41" i="27"/>
  <c r="CJ22" i="27"/>
  <c r="U41" i="27"/>
  <c r="AC4" i="27"/>
  <c r="AE4" i="27" s="1"/>
  <c r="E16" i="27"/>
  <c r="E37" i="27" s="1"/>
  <c r="E39" i="27" s="1"/>
  <c r="E41" i="27" s="1"/>
  <c r="AC8" i="27"/>
  <c r="X39" i="27"/>
  <c r="X41" i="27" s="1"/>
  <c r="F41" i="27"/>
  <c r="V40" i="27"/>
  <c r="N41" i="27"/>
  <c r="R41" i="27"/>
  <c r="S40" i="27"/>
  <c r="I40" i="27"/>
  <c r="AM40" i="27"/>
  <c r="P40" i="27"/>
  <c r="G40" i="27"/>
  <c r="AG40" i="27"/>
  <c r="H40" i="27"/>
  <c r="Z41" i="27"/>
  <c r="AH41" i="27"/>
  <c r="AL41" i="27"/>
  <c r="AO40" i="27"/>
  <c r="O40" i="27"/>
  <c r="J41" i="27"/>
  <c r="AN40" i="27"/>
  <c r="T41" i="27"/>
  <c r="W40" i="27"/>
  <c r="Q40" i="27"/>
  <c r="AW39" i="27"/>
  <c r="AW40" i="27" s="1"/>
  <c r="Y39" i="27"/>
  <c r="Y40" i="27" s="1"/>
  <c r="BA40" i="27"/>
  <c r="AZ40" i="27"/>
  <c r="F45" i="20"/>
  <c r="AF8" i="15"/>
  <c r="S50" i="15"/>
  <c r="U50" i="15"/>
  <c r="W50" i="15"/>
  <c r="Y50" i="15"/>
  <c r="AA50" i="15"/>
  <c r="AB50" i="15"/>
  <c r="AD50" i="15"/>
  <c r="AE50" i="15"/>
  <c r="AF50" i="15"/>
  <c r="AU41" i="27" l="1"/>
  <c r="AJ41" i="27"/>
  <c r="K40" i="27"/>
  <c r="AK41" i="27"/>
  <c r="AI40" i="27"/>
  <c r="AV41" i="27"/>
  <c r="AR40" i="27"/>
  <c r="D40" i="27"/>
  <c r="AD16" i="27"/>
  <c r="AF41" i="27"/>
  <c r="L40" i="27"/>
  <c r="AA40" i="27"/>
  <c r="X40" i="27"/>
  <c r="E40" i="27"/>
  <c r="AE8" i="27"/>
  <c r="AE16" i="27" s="1"/>
  <c r="AE37" i="27" s="1"/>
  <c r="AC16" i="27"/>
  <c r="AC37" i="27" s="1"/>
  <c r="AC39" i="27" s="1"/>
  <c r="AC41" i="27" s="1"/>
  <c r="Y41" i="27"/>
  <c r="M41" i="27"/>
  <c r="AB39" i="27"/>
  <c r="AB41" i="27" s="1"/>
  <c r="AW41" i="27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37" i="27" l="1"/>
  <c r="AD39" i="27" s="1"/>
  <c r="AC40" i="27"/>
  <c r="AE39" i="27"/>
  <c r="AE41" i="27" s="1"/>
  <c r="AB40" i="27"/>
  <c r="AD41" i="27" l="1"/>
  <c r="AD40" i="27"/>
  <c r="AE40" i="27"/>
  <c r="S19" i="25"/>
  <c r="S20" i="25"/>
  <c r="S21" i="25"/>
  <c r="S23" i="25"/>
  <c r="S18" i="25"/>
  <c r="S31" i="22"/>
  <c r="S32" i="22"/>
  <c r="S33" i="22"/>
  <c r="S37" i="22"/>
  <c r="S36" i="22"/>
  <c r="S28" i="22"/>
  <c r="S29" i="22"/>
  <c r="S30" i="22"/>
  <c r="R45" i="20"/>
  <c r="Q45" i="20"/>
  <c r="S48" i="20"/>
  <c r="S49" i="20"/>
  <c r="S50" i="20"/>
  <c r="S51" i="20"/>
  <c r="S47" i="20"/>
  <c r="S36" i="20"/>
  <c r="S37" i="20"/>
  <c r="S39" i="20"/>
  <c r="S40" i="20"/>
  <c r="S42" i="20"/>
  <c r="S43" i="20"/>
  <c r="S63" i="16"/>
  <c r="S64" i="16"/>
  <c r="S62" i="16"/>
  <c r="S42" i="17"/>
  <c r="S43" i="17"/>
  <c r="S44" i="17"/>
  <c r="S47" i="17"/>
  <c r="S48" i="17"/>
  <c r="S49" i="17"/>
  <c r="S50" i="17"/>
  <c r="S29" i="18"/>
  <c r="S30" i="18"/>
  <c r="S31" i="18"/>
  <c r="S32" i="18"/>
  <c r="S33" i="18"/>
  <c r="S34" i="18"/>
  <c r="S28" i="18"/>
  <c r="S34" i="19"/>
  <c r="S35" i="19"/>
  <c r="S36" i="19"/>
  <c r="S37" i="19"/>
  <c r="S38" i="19"/>
  <c r="S39" i="19"/>
  <c r="S33" i="19"/>
  <c r="P47" i="17"/>
  <c r="P48" i="17"/>
  <c r="R53" i="17"/>
  <c r="Z53" i="17"/>
  <c r="AA53" i="17"/>
  <c r="AB53" i="17"/>
  <c r="AC53" i="17"/>
  <c r="AD53" i="17"/>
  <c r="AE53" i="17"/>
  <c r="AL53" i="17"/>
  <c r="AM53" i="17"/>
  <c r="AN53" i="17"/>
  <c r="Q53" i="17"/>
  <c r="AD5" i="15"/>
  <c r="S45" i="20" l="1"/>
  <c r="AF5" i="15"/>
  <c r="S53" i="17"/>
  <c r="S56" i="16"/>
  <c r="O22" i="15"/>
  <c r="M22" i="15"/>
  <c r="P47" i="20"/>
  <c r="P49" i="20"/>
  <c r="P50" i="20"/>
  <c r="P51" i="20"/>
  <c r="P48" i="20"/>
  <c r="P19" i="25" l="1"/>
  <c r="P20" i="25"/>
  <c r="P21" i="25"/>
  <c r="P18" i="25"/>
  <c r="P23" i="25"/>
  <c r="N34" i="22" l="1"/>
  <c r="O34" i="22"/>
  <c r="Q34" i="22"/>
  <c r="R34" i="22"/>
  <c r="S34" i="22"/>
  <c r="T34" i="22"/>
  <c r="U34" i="22"/>
  <c r="V34" i="22"/>
  <c r="W34" i="22"/>
  <c r="X34" i="22"/>
  <c r="Y34" i="22"/>
  <c r="AA34" i="22"/>
  <c r="AB34" i="22"/>
  <c r="AC34" i="22"/>
  <c r="AD34" i="22"/>
  <c r="AE34" i="22"/>
  <c r="AG34" i="22"/>
  <c r="AH34" i="22"/>
  <c r="AI34" i="22"/>
  <c r="AJ34" i="22"/>
  <c r="AK34" i="22"/>
  <c r="AL34" i="22"/>
  <c r="AM34" i="22"/>
  <c r="AN34" i="22"/>
  <c r="P28" i="22"/>
  <c r="P29" i="22"/>
  <c r="P30" i="22"/>
  <c r="P32" i="22"/>
  <c r="P33" i="22"/>
  <c r="O45" i="20"/>
  <c r="N45" i="20"/>
  <c r="P39" i="20"/>
  <c r="P37" i="20"/>
  <c r="P36" i="20"/>
  <c r="P35" i="20"/>
  <c r="P42" i="20"/>
  <c r="P43" i="20"/>
  <c r="P40" i="20"/>
  <c r="P39" i="19"/>
  <c r="P33" i="19"/>
  <c r="P34" i="19"/>
  <c r="P35" i="19"/>
  <c r="P36" i="19"/>
  <c r="P37" i="19"/>
  <c r="P38" i="19"/>
  <c r="O35" i="18"/>
  <c r="N35" i="18"/>
  <c r="P34" i="18"/>
  <c r="P30" i="18"/>
  <c r="P28" i="18"/>
  <c r="P29" i="18"/>
  <c r="P31" i="18"/>
  <c r="P32" i="18"/>
  <c r="P33" i="18"/>
  <c r="P45" i="20" l="1"/>
  <c r="P35" i="18"/>
  <c r="P34" i="22"/>
  <c r="N53" i="17" l="1"/>
  <c r="O53" i="17"/>
  <c r="P42" i="17"/>
  <c r="P43" i="17"/>
  <c r="P44" i="17"/>
  <c r="P49" i="17"/>
  <c r="P50" i="17"/>
  <c r="P53" i="17" l="1"/>
  <c r="P56" i="16"/>
  <c r="K22" i="15"/>
  <c r="M49" i="20"/>
  <c r="M50" i="20"/>
  <c r="M52" i="20"/>
  <c r="M53" i="20"/>
  <c r="M54" i="20"/>
  <c r="M47" i="20"/>
  <c r="M63" i="23"/>
  <c r="M64" i="23"/>
  <c r="M65" i="23"/>
  <c r="M66" i="23"/>
  <c r="K35" i="18"/>
  <c r="L34" i="22" l="1"/>
  <c r="K34" i="22"/>
  <c r="M30" i="22"/>
  <c r="M32" i="22"/>
  <c r="L45" i="20"/>
  <c r="K45" i="20"/>
  <c r="L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AA40" i="19"/>
  <c r="AB40" i="19"/>
  <c r="AC40" i="19"/>
  <c r="AD40" i="19"/>
  <c r="AE40" i="19"/>
  <c r="AF40" i="19"/>
  <c r="AG40" i="19"/>
  <c r="AH40" i="19"/>
  <c r="AI40" i="19"/>
  <c r="AJ40" i="19"/>
  <c r="AK40" i="19"/>
  <c r="AL40" i="19"/>
  <c r="AM40" i="19"/>
  <c r="AN40" i="19"/>
  <c r="K40" i="19"/>
  <c r="M34" i="19"/>
  <c r="M35" i="19"/>
  <c r="M36" i="19"/>
  <c r="M38" i="19"/>
  <c r="M39" i="19"/>
  <c r="M33" i="19"/>
  <c r="M32" i="18"/>
  <c r="M29" i="18"/>
  <c r="M30" i="18"/>
  <c r="M31" i="18"/>
  <c r="M33" i="18"/>
  <c r="M28" i="18"/>
  <c r="L53" i="17"/>
  <c r="K53" i="17"/>
  <c r="M49" i="17"/>
  <c r="M34" i="22" l="1"/>
  <c r="M40" i="19"/>
  <c r="M42" i="17"/>
  <c r="M43" i="17"/>
  <c r="M44" i="17"/>
  <c r="M47" i="17"/>
  <c r="M48" i="17"/>
  <c r="M50" i="17"/>
  <c r="M19" i="25"/>
  <c r="AQ19" i="25" s="1"/>
  <c r="M20" i="25"/>
  <c r="M21" i="25"/>
  <c r="M23" i="25"/>
  <c r="M18" i="25"/>
  <c r="K42" i="15"/>
  <c r="L42" i="15"/>
  <c r="L48" i="15" s="1"/>
  <c r="M42" i="15"/>
  <c r="N42" i="15"/>
  <c r="O42" i="15"/>
  <c r="P42" i="15"/>
  <c r="Q42" i="15"/>
  <c r="R42" i="15"/>
  <c r="R48" i="15" s="1"/>
  <c r="S42" i="15"/>
  <c r="S48" i="15" s="1"/>
  <c r="S51" i="15" s="1"/>
  <c r="T42" i="15"/>
  <c r="T48" i="15" s="1"/>
  <c r="U42" i="15"/>
  <c r="U48" i="15" s="1"/>
  <c r="U51" i="15" s="1"/>
  <c r="V42" i="15"/>
  <c r="V48" i="15" s="1"/>
  <c r="W42" i="15"/>
  <c r="W48" i="15" s="1"/>
  <c r="W51" i="15" s="1"/>
  <c r="X42" i="15"/>
  <c r="X48" i="15" s="1"/>
  <c r="Y42" i="15"/>
  <c r="Y48" i="15" s="1"/>
  <c r="Y51" i="15" s="1"/>
  <c r="Z42" i="15"/>
  <c r="Z48" i="15" s="1"/>
  <c r="AA42" i="15"/>
  <c r="AA48" i="15" s="1"/>
  <c r="AA51" i="15" s="1"/>
  <c r="AB42" i="15"/>
  <c r="AB48" i="15" s="1"/>
  <c r="AB51" i="15" s="1"/>
  <c r="AC42" i="15"/>
  <c r="AC48" i="15" s="1"/>
  <c r="Q48" i="15" l="1"/>
  <c r="Q47" i="15"/>
  <c r="M56" i="16"/>
  <c r="O48" i="15"/>
  <c r="O47" i="15"/>
  <c r="K48" i="15"/>
  <c r="K47" i="15"/>
  <c r="M48" i="15"/>
  <c r="M47" i="15"/>
  <c r="M53" i="17"/>
  <c r="Q49" i="15" l="1"/>
  <c r="Q50" i="15" s="1"/>
  <c r="K49" i="15"/>
  <c r="K50" i="15" s="1"/>
  <c r="O49" i="15"/>
  <c r="O50" i="15" s="1"/>
  <c r="M49" i="15"/>
  <c r="M51" i="15" s="1"/>
  <c r="J20" i="25"/>
  <c r="J21" i="25"/>
  <c r="AQ21" i="25" s="1"/>
  <c r="J23" i="25"/>
  <c r="J18" i="25"/>
  <c r="J44" i="24"/>
  <c r="J55" i="24" s="1"/>
  <c r="J29" i="22"/>
  <c r="J30" i="22"/>
  <c r="J32" i="22"/>
  <c r="J28" i="22"/>
  <c r="J37" i="20"/>
  <c r="J39" i="20"/>
  <c r="J40" i="20"/>
  <c r="J43" i="20"/>
  <c r="J36" i="20"/>
  <c r="J35" i="19"/>
  <c r="J36" i="19"/>
  <c r="J37" i="19"/>
  <c r="J38" i="19"/>
  <c r="J39" i="19"/>
  <c r="J33" i="19"/>
  <c r="J29" i="18"/>
  <c r="J30" i="18"/>
  <c r="J31" i="18"/>
  <c r="J33" i="18"/>
  <c r="J28" i="18"/>
  <c r="J42" i="17"/>
  <c r="J43" i="17"/>
  <c r="J44" i="17"/>
  <c r="J47" i="17"/>
  <c r="J48" i="17"/>
  <c r="J50" i="17"/>
  <c r="Q51" i="15" l="1"/>
  <c r="K51" i="15"/>
  <c r="J45" i="20"/>
  <c r="J56" i="16"/>
  <c r="O51" i="15"/>
  <c r="J24" i="25"/>
  <c r="M50" i="15"/>
  <c r="J40" i="19"/>
  <c r="J34" i="22"/>
  <c r="E40" i="19"/>
  <c r="E35" i="18"/>
  <c r="E53" i="17"/>
  <c r="E45" i="20" l="1"/>
  <c r="F34" i="22"/>
  <c r="H34" i="22"/>
  <c r="I34" i="22"/>
  <c r="E34" i="22"/>
  <c r="H40" i="19"/>
  <c r="I40" i="19"/>
  <c r="D42" i="15"/>
  <c r="D48" i="15" s="1"/>
  <c r="E22" i="15"/>
  <c r="E47" i="15" s="1"/>
  <c r="E49" i="15" s="1"/>
  <c r="E51" i="15" s="1"/>
  <c r="E50" i="15" l="1"/>
  <c r="D22" i="15"/>
  <c r="D47" i="15" s="1"/>
  <c r="D49" i="15" l="1"/>
  <c r="I53" i="17"/>
  <c r="J53" i="17"/>
  <c r="H53" i="17"/>
  <c r="D50" i="15" l="1"/>
  <c r="D51" i="15"/>
  <c r="I42" i="15"/>
  <c r="I22" i="15"/>
  <c r="E65" i="16"/>
  <c r="E66" i="16" s="1"/>
  <c r="G44" i="17"/>
  <c r="G36" i="20"/>
  <c r="F40" i="19"/>
  <c r="G39" i="19"/>
  <c r="F53" i="17"/>
  <c r="G50" i="17"/>
  <c r="I48" i="15" l="1"/>
  <c r="I47" i="15"/>
  <c r="AD28" i="15"/>
  <c r="AF28" i="15" s="1"/>
  <c r="AE28" i="15"/>
  <c r="AD29" i="15"/>
  <c r="AF29" i="15" s="1"/>
  <c r="AE29" i="15"/>
  <c r="AD30" i="15"/>
  <c r="AF30" i="15" s="1"/>
  <c r="AE30" i="15"/>
  <c r="AD31" i="15"/>
  <c r="AF31" i="15" s="1"/>
  <c r="AE31" i="15"/>
  <c r="AD32" i="15"/>
  <c r="AF32" i="15" s="1"/>
  <c r="AE32" i="15"/>
  <c r="AD33" i="15"/>
  <c r="AF33" i="15" s="1"/>
  <c r="AE33" i="15"/>
  <c r="AD34" i="15"/>
  <c r="AF34" i="15" s="1"/>
  <c r="AE34" i="15"/>
  <c r="AD35" i="15"/>
  <c r="AF35" i="15" s="1"/>
  <c r="AE35" i="15"/>
  <c r="AD36" i="15"/>
  <c r="AF36" i="15" s="1"/>
  <c r="AE36" i="15"/>
  <c r="AD37" i="15"/>
  <c r="AF37" i="15" s="1"/>
  <c r="AE37" i="15"/>
  <c r="AE27" i="15"/>
  <c r="AD27" i="15"/>
  <c r="AF27" i="15" s="1"/>
  <c r="AD7" i="15"/>
  <c r="AF7" i="15" s="1"/>
  <c r="AE7" i="15"/>
  <c r="AE8" i="15"/>
  <c r="AD9" i="15"/>
  <c r="AF9" i="15" s="1"/>
  <c r="AE9" i="15"/>
  <c r="AD10" i="15"/>
  <c r="AF10" i="15" s="1"/>
  <c r="AE10" i="15"/>
  <c r="AD11" i="15"/>
  <c r="AF11" i="15" s="1"/>
  <c r="AE11" i="15"/>
  <c r="AD12" i="15"/>
  <c r="AF12" i="15" s="1"/>
  <c r="AE12" i="15"/>
  <c r="AD13" i="15"/>
  <c r="AF13" i="15" s="1"/>
  <c r="AE13" i="15"/>
  <c r="AD14" i="15"/>
  <c r="AF14" i="15" s="1"/>
  <c r="AE14" i="15"/>
  <c r="AD15" i="15"/>
  <c r="AF15" i="15" s="1"/>
  <c r="AE15" i="15"/>
  <c r="AE5" i="15"/>
  <c r="G26" i="26"/>
  <c r="G27" i="26"/>
  <c r="G28" i="26"/>
  <c r="G29" i="26"/>
  <c r="G30" i="26"/>
  <c r="G31" i="26"/>
  <c r="G32" i="26"/>
  <c r="G33" i="26"/>
  <c r="G25" i="26"/>
  <c r="I49" i="15" l="1"/>
  <c r="I50" i="15" s="1"/>
  <c r="I51" i="15"/>
  <c r="AE42" i="15"/>
  <c r="AE48" i="15" s="1"/>
  <c r="AE51" i="15" s="1"/>
  <c r="G51" i="20"/>
  <c r="G52" i="20"/>
  <c r="G53" i="20"/>
  <c r="G54" i="20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J35" i="26" s="1"/>
  <c r="I34" i="26"/>
  <c r="H34" i="26"/>
  <c r="F34" i="26"/>
  <c r="E34" i="26"/>
  <c r="G34" i="26"/>
  <c r="AN35" i="25"/>
  <c r="AM35" i="25"/>
  <c r="AL35" i="25"/>
  <c r="AK35" i="25"/>
  <c r="AJ35" i="25"/>
  <c r="AI35" i="25"/>
  <c r="AH35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J36" i="25" s="1"/>
  <c r="I35" i="25"/>
  <c r="H35" i="25"/>
  <c r="F35" i="25"/>
  <c r="E35" i="25"/>
  <c r="G33" i="25"/>
  <c r="G32" i="25"/>
  <c r="G31" i="25"/>
  <c r="G30" i="25"/>
  <c r="AN24" i="25"/>
  <c r="AM24" i="25"/>
  <c r="AL24" i="25"/>
  <c r="AK24" i="25"/>
  <c r="AJ24" i="25"/>
  <c r="AI24" i="25"/>
  <c r="AH24" i="25"/>
  <c r="AG24" i="25"/>
  <c r="AF24" i="25"/>
  <c r="AE24" i="25"/>
  <c r="AD24" i="25"/>
  <c r="AB24" i="25"/>
  <c r="Z24" i="25"/>
  <c r="Y24" i="25"/>
  <c r="X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I24" i="25"/>
  <c r="H24" i="25"/>
  <c r="F24" i="25"/>
  <c r="E24" i="25"/>
  <c r="G23" i="25"/>
  <c r="AQ23" i="25" s="1"/>
  <c r="AQ20" i="25"/>
  <c r="G18" i="25"/>
  <c r="AQ18" i="25" s="1"/>
  <c r="AN66" i="24"/>
  <c r="AM66" i="24"/>
  <c r="AL66" i="24"/>
  <c r="AK66" i="24"/>
  <c r="AJ66" i="24"/>
  <c r="AI66" i="24"/>
  <c r="AH66" i="24"/>
  <c r="AG66" i="24"/>
  <c r="AF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F66" i="24"/>
  <c r="E66" i="24"/>
  <c r="G64" i="24"/>
  <c r="G63" i="24"/>
  <c r="G62" i="24"/>
  <c r="G61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X67" i="24" s="1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I55" i="24"/>
  <c r="H55" i="24"/>
  <c r="F55" i="24"/>
  <c r="E55" i="24"/>
  <c r="G51" i="24"/>
  <c r="G50" i="24"/>
  <c r="G49" i="24"/>
  <c r="G48" i="24"/>
  <c r="G47" i="24"/>
  <c r="G46" i="24"/>
  <c r="G45" i="24"/>
  <c r="G44" i="24"/>
  <c r="G41" i="24"/>
  <c r="G40" i="24"/>
  <c r="G39" i="24"/>
  <c r="G38" i="24"/>
  <c r="G37" i="24"/>
  <c r="G36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F78" i="23"/>
  <c r="E78" i="23"/>
  <c r="G76" i="23"/>
  <c r="G75" i="23"/>
  <c r="G74" i="23"/>
  <c r="G73" i="23"/>
  <c r="AN67" i="23"/>
  <c r="AM67" i="23"/>
  <c r="AL67" i="23"/>
  <c r="AK67" i="23"/>
  <c r="AJ67" i="23"/>
  <c r="AI67" i="23"/>
  <c r="AH67" i="23"/>
  <c r="AG67" i="23"/>
  <c r="AF67" i="23"/>
  <c r="AE67" i="23"/>
  <c r="AD67" i="23"/>
  <c r="AC67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F67" i="23"/>
  <c r="E67" i="23"/>
  <c r="G63" i="23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O46" i="22" s="1"/>
  <c r="N45" i="22"/>
  <c r="M45" i="22"/>
  <c r="M46" i="22" s="1"/>
  <c r="L45" i="22"/>
  <c r="L46" i="22" s="1"/>
  <c r="K45" i="22"/>
  <c r="J45" i="22"/>
  <c r="J46" i="22" s="1"/>
  <c r="I45" i="22"/>
  <c r="I46" i="22" s="1"/>
  <c r="H45" i="22"/>
  <c r="H46" i="22" s="1"/>
  <c r="F45" i="22"/>
  <c r="E45" i="22"/>
  <c r="G43" i="22"/>
  <c r="G42" i="22"/>
  <c r="G41" i="22"/>
  <c r="G40" i="22"/>
  <c r="G29" i="22"/>
  <c r="G28" i="22"/>
  <c r="AN69" i="21"/>
  <c r="AM69" i="21"/>
  <c r="AL69" i="21"/>
  <c r="AK69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F69" i="21"/>
  <c r="E69" i="21"/>
  <c r="G67" i="21"/>
  <c r="G66" i="21"/>
  <c r="G65" i="21"/>
  <c r="G64" i="21"/>
  <c r="AN58" i="21"/>
  <c r="AM58" i="21"/>
  <c r="AL58" i="21"/>
  <c r="AK58" i="21"/>
  <c r="AJ58" i="21"/>
  <c r="AI58" i="21"/>
  <c r="AH58" i="21"/>
  <c r="AG58" i="21"/>
  <c r="AE58" i="21"/>
  <c r="AD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F58" i="21"/>
  <c r="E58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B57" i="20" s="1"/>
  <c r="AA56" i="20"/>
  <c r="Y56" i="20"/>
  <c r="X56" i="20"/>
  <c r="X57" i="20" s="1"/>
  <c r="W56" i="20"/>
  <c r="V56" i="20"/>
  <c r="U56" i="20"/>
  <c r="U57" i="20" s="1"/>
  <c r="T56" i="20"/>
  <c r="S56" i="20"/>
  <c r="R56" i="20"/>
  <c r="Q56" i="20"/>
  <c r="P56" i="20"/>
  <c r="P57" i="20" s="1"/>
  <c r="O56" i="20"/>
  <c r="O57" i="20" s="1"/>
  <c r="N56" i="20"/>
  <c r="M56" i="20"/>
  <c r="L56" i="20"/>
  <c r="L57" i="20" s="1"/>
  <c r="K56" i="20"/>
  <c r="J56" i="20"/>
  <c r="J57" i="20" s="1"/>
  <c r="I56" i="20"/>
  <c r="I57" i="20" s="1"/>
  <c r="H56" i="20"/>
  <c r="F56" i="20"/>
  <c r="E56" i="20"/>
  <c r="G37" i="20"/>
  <c r="G45" i="20" s="1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X52" i="19" s="1"/>
  <c r="W51" i="19"/>
  <c r="V51" i="19"/>
  <c r="U51" i="19"/>
  <c r="U52" i="19" s="1"/>
  <c r="T51" i="19"/>
  <c r="S51" i="19"/>
  <c r="R51" i="19"/>
  <c r="R52" i="19" s="1"/>
  <c r="Q51" i="19"/>
  <c r="P51" i="19"/>
  <c r="O51" i="19"/>
  <c r="N51" i="19"/>
  <c r="M51" i="19"/>
  <c r="L51" i="19"/>
  <c r="K51" i="19"/>
  <c r="J51" i="19"/>
  <c r="I51" i="19"/>
  <c r="H51" i="19"/>
  <c r="F51" i="19"/>
  <c r="E51" i="19"/>
  <c r="G49" i="19"/>
  <c r="G48" i="19"/>
  <c r="G47" i="19"/>
  <c r="G46" i="19"/>
  <c r="G37" i="19"/>
  <c r="G36" i="19"/>
  <c r="G35" i="19"/>
  <c r="G33" i="19"/>
  <c r="AN46" i="18"/>
  <c r="AM46" i="18"/>
  <c r="AL46" i="18"/>
  <c r="AK46" i="18"/>
  <c r="AJ46" i="18"/>
  <c r="AI46" i="18"/>
  <c r="AH46" i="18"/>
  <c r="AG46" i="18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F46" i="18"/>
  <c r="E46" i="18"/>
  <c r="G44" i="18"/>
  <c r="G43" i="18"/>
  <c r="G42" i="18"/>
  <c r="G41" i="18"/>
  <c r="AN35" i="18"/>
  <c r="AM35" i="18"/>
  <c r="AL35" i="18"/>
  <c r="AK35" i="18"/>
  <c r="AJ35" i="18"/>
  <c r="AI35" i="18"/>
  <c r="AE35" i="18"/>
  <c r="AD35" i="18"/>
  <c r="AC35" i="18"/>
  <c r="Y35" i="18"/>
  <c r="X35" i="18"/>
  <c r="W35" i="18"/>
  <c r="V35" i="18"/>
  <c r="U35" i="18"/>
  <c r="U47" i="18" s="1"/>
  <c r="T35" i="18"/>
  <c r="S35" i="18"/>
  <c r="R35" i="18"/>
  <c r="Q35" i="18"/>
  <c r="M35" i="18"/>
  <c r="L35" i="18"/>
  <c r="J35" i="18"/>
  <c r="I35" i="18"/>
  <c r="H35" i="18"/>
  <c r="F35" i="18"/>
  <c r="G33" i="18"/>
  <c r="G30" i="18"/>
  <c r="G29" i="18"/>
  <c r="G28" i="18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X65" i="17" s="1"/>
  <c r="W64" i="17"/>
  <c r="V64" i="17"/>
  <c r="U64" i="17"/>
  <c r="U65" i="17" s="1"/>
  <c r="T64" i="17"/>
  <c r="S64" i="17"/>
  <c r="R64" i="17"/>
  <c r="R65" i="17" s="1"/>
  <c r="Q64" i="17"/>
  <c r="P64" i="17"/>
  <c r="O64" i="17"/>
  <c r="N64" i="17"/>
  <c r="M64" i="17"/>
  <c r="L64" i="17"/>
  <c r="K64" i="17"/>
  <c r="J64" i="17"/>
  <c r="I64" i="17"/>
  <c r="H64" i="17"/>
  <c r="F64" i="17"/>
  <c r="E64" i="17"/>
  <c r="G62" i="17"/>
  <c r="G61" i="17"/>
  <c r="G60" i="17"/>
  <c r="G59" i="17"/>
  <c r="G48" i="17"/>
  <c r="G47" i="17"/>
  <c r="G43" i="17"/>
  <c r="G63" i="16"/>
  <c r="G64" i="16"/>
  <c r="G22" i="15"/>
  <c r="G42" i="15"/>
  <c r="G48" i="15" s="1"/>
  <c r="F65" i="16"/>
  <c r="F66" i="16" s="1"/>
  <c r="H65" i="16"/>
  <c r="I65" i="16"/>
  <c r="J65" i="16"/>
  <c r="K65" i="16"/>
  <c r="L65" i="16"/>
  <c r="M65" i="16"/>
  <c r="M66" i="16" s="1"/>
  <c r="N65" i="16"/>
  <c r="O65" i="16"/>
  <c r="P65" i="16"/>
  <c r="Q65" i="16"/>
  <c r="R65" i="16"/>
  <c r="S65" i="16"/>
  <c r="T65" i="16"/>
  <c r="U65" i="16"/>
  <c r="V65" i="16"/>
  <c r="W65" i="16"/>
  <c r="X65" i="16"/>
  <c r="X66" i="16" s="1"/>
  <c r="Y65" i="16"/>
  <c r="Z65" i="16"/>
  <c r="Z66" i="16" s="1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T56" i="16"/>
  <c r="U56" i="16"/>
  <c r="X47" i="18" l="1"/>
  <c r="AQ24" i="25"/>
  <c r="AQ36" i="25" s="1"/>
  <c r="R47" i="18"/>
  <c r="U66" i="16"/>
  <c r="X79" i="23"/>
  <c r="P70" i="21"/>
  <c r="AB70" i="21"/>
  <c r="AN70" i="21"/>
  <c r="T70" i="21"/>
  <c r="Y70" i="21"/>
  <c r="Q70" i="21"/>
  <c r="AC70" i="21"/>
  <c r="G69" i="21"/>
  <c r="Z70" i="21"/>
  <c r="E70" i="21"/>
  <c r="S70" i="21"/>
  <c r="W70" i="21"/>
  <c r="R35" i="26"/>
  <c r="S67" i="24"/>
  <c r="F67" i="24"/>
  <c r="R79" i="23"/>
  <c r="S79" i="23"/>
  <c r="O79" i="23"/>
  <c r="G56" i="16"/>
  <c r="P66" i="16"/>
  <c r="R66" i="16"/>
  <c r="T79" i="23"/>
  <c r="I67" i="24"/>
  <c r="N66" i="16"/>
  <c r="O66" i="16"/>
  <c r="P67" i="24"/>
  <c r="AB67" i="24"/>
  <c r="AN67" i="24"/>
  <c r="I35" i="26"/>
  <c r="V36" i="25"/>
  <c r="Q67" i="24"/>
  <c r="AC67" i="24"/>
  <c r="K67" i="24"/>
  <c r="W67" i="24"/>
  <c r="AI67" i="24"/>
  <c r="L35" i="26"/>
  <c r="J70" i="21"/>
  <c r="V70" i="21"/>
  <c r="AH70" i="21"/>
  <c r="L79" i="23"/>
  <c r="K70" i="21"/>
  <c r="AI70" i="21"/>
  <c r="AK46" i="22"/>
  <c r="M79" i="23"/>
  <c r="N79" i="23"/>
  <c r="AL79" i="23"/>
  <c r="AK79" i="23"/>
  <c r="Z79" i="23"/>
  <c r="Y79" i="23"/>
  <c r="L66" i="16"/>
  <c r="AH36" i="25"/>
  <c r="G34" i="22"/>
  <c r="J66" i="16"/>
  <c r="H70" i="21"/>
  <c r="AF70" i="21"/>
  <c r="AC79" i="23"/>
  <c r="I66" i="16"/>
  <c r="M70" i="21"/>
  <c r="AK70" i="21"/>
  <c r="T67" i="24"/>
  <c r="N70" i="21"/>
  <c r="AL70" i="21"/>
  <c r="J79" i="23"/>
  <c r="V79" i="23"/>
  <c r="AH79" i="23"/>
  <c r="AE70" i="21"/>
  <c r="K79" i="23"/>
  <c r="W79" i="23"/>
  <c r="AI79" i="23"/>
  <c r="J67" i="24"/>
  <c r="V67" i="24"/>
  <c r="AH67" i="24"/>
  <c r="Y46" i="22"/>
  <c r="W46" i="22"/>
  <c r="Y67" i="24"/>
  <c r="Z67" i="24"/>
  <c r="Y36" i="25"/>
  <c r="AB65" i="17"/>
  <c r="P65" i="17"/>
  <c r="AN65" i="17"/>
  <c r="G53" i="17"/>
  <c r="G66" i="24"/>
  <c r="M67" i="24"/>
  <c r="AK67" i="24"/>
  <c r="N67" i="24"/>
  <c r="AL67" i="24"/>
  <c r="H67" i="24"/>
  <c r="AF67" i="24"/>
  <c r="AE67" i="24"/>
  <c r="G55" i="24"/>
  <c r="P79" i="23"/>
  <c r="AB79" i="23"/>
  <c r="AN79" i="23"/>
  <c r="G78" i="23"/>
  <c r="Q79" i="23"/>
  <c r="AE79" i="23"/>
  <c r="H79" i="23"/>
  <c r="AF79" i="23"/>
  <c r="E79" i="23"/>
  <c r="F79" i="23"/>
  <c r="S46" i="22"/>
  <c r="T46" i="22"/>
  <c r="F46" i="22"/>
  <c r="G40" i="19"/>
  <c r="W52" i="19"/>
  <c r="S52" i="19"/>
  <c r="H52" i="19"/>
  <c r="T52" i="19"/>
  <c r="G56" i="20"/>
  <c r="AE35" i="26"/>
  <c r="AI35" i="26"/>
  <c r="AN35" i="26"/>
  <c r="P35" i="26"/>
  <c r="AB35" i="26"/>
  <c r="T36" i="25"/>
  <c r="Z36" i="25"/>
  <c r="K36" i="25"/>
  <c r="W36" i="25"/>
  <c r="AI36" i="25"/>
  <c r="S36" i="25"/>
  <c r="G35" i="25"/>
  <c r="V46" i="22"/>
  <c r="AH46" i="22"/>
  <c r="K46" i="22"/>
  <c r="AI46" i="22"/>
  <c r="Q46" i="22"/>
  <c r="AC46" i="22"/>
  <c r="E46" i="22"/>
  <c r="AI57" i="20"/>
  <c r="M57" i="20"/>
  <c r="F57" i="20"/>
  <c r="AK57" i="20"/>
  <c r="K57" i="20"/>
  <c r="Y57" i="20"/>
  <c r="N52" i="19"/>
  <c r="Z52" i="19"/>
  <c r="AL52" i="19"/>
  <c r="AB52" i="19"/>
  <c r="J52" i="19"/>
  <c r="V52" i="19"/>
  <c r="AH52" i="19"/>
  <c r="AC52" i="19"/>
  <c r="M52" i="19"/>
  <c r="Y52" i="19"/>
  <c r="AK52" i="19"/>
  <c r="K52" i="19"/>
  <c r="AI52" i="19"/>
  <c r="G51" i="19"/>
  <c r="S47" i="18"/>
  <c r="K47" i="18"/>
  <c r="W47" i="18"/>
  <c r="AI47" i="18"/>
  <c r="AB47" i="18"/>
  <c r="AN47" i="18"/>
  <c r="H65" i="17"/>
  <c r="T65" i="17"/>
  <c r="J65" i="17"/>
  <c r="V65" i="17"/>
  <c r="AH65" i="17"/>
  <c r="K65" i="17"/>
  <c r="W65" i="17"/>
  <c r="AI65" i="17"/>
  <c r="Y65" i="17"/>
  <c r="G65" i="16"/>
  <c r="Y35" i="26"/>
  <c r="Q35" i="26"/>
  <c r="AC35" i="26"/>
  <c r="K35" i="26"/>
  <c r="W35" i="26"/>
  <c r="H35" i="26"/>
  <c r="AF35" i="26"/>
  <c r="M35" i="26"/>
  <c r="AK35" i="26"/>
  <c r="N35" i="26"/>
  <c r="Z35" i="26"/>
  <c r="AL35" i="26"/>
  <c r="E35" i="26"/>
  <c r="S35" i="26"/>
  <c r="T35" i="26"/>
  <c r="V35" i="26"/>
  <c r="AH35" i="26"/>
  <c r="G35" i="26"/>
  <c r="F35" i="26"/>
  <c r="P36" i="25"/>
  <c r="AB36" i="25"/>
  <c r="AN36" i="25"/>
  <c r="Q36" i="25"/>
  <c r="AC36" i="25"/>
  <c r="M36" i="25"/>
  <c r="AK36" i="25"/>
  <c r="N36" i="25"/>
  <c r="AL36" i="25"/>
  <c r="AE36" i="25"/>
  <c r="H36" i="25"/>
  <c r="AF36" i="25"/>
  <c r="E36" i="25"/>
  <c r="F36" i="25"/>
  <c r="G24" i="25"/>
  <c r="E67" i="24"/>
  <c r="G67" i="23"/>
  <c r="N46" i="22"/>
  <c r="Z46" i="22"/>
  <c r="AE46" i="22"/>
  <c r="AF46" i="22"/>
  <c r="G45" i="22"/>
  <c r="AL46" i="22"/>
  <c r="P46" i="22"/>
  <c r="AB46" i="22"/>
  <c r="AN46" i="22"/>
  <c r="G58" i="21"/>
  <c r="F70" i="21"/>
  <c r="AC57" i="20"/>
  <c r="S57" i="20"/>
  <c r="AE57" i="20"/>
  <c r="H57" i="20"/>
  <c r="AF57" i="20"/>
  <c r="W57" i="20"/>
  <c r="Q57" i="20"/>
  <c r="E57" i="20"/>
  <c r="N57" i="20"/>
  <c r="AL57" i="20"/>
  <c r="AN57" i="20"/>
  <c r="T57" i="20"/>
  <c r="V57" i="20"/>
  <c r="AH57" i="20"/>
  <c r="P52" i="19"/>
  <c r="AN52" i="19"/>
  <c r="Q52" i="19"/>
  <c r="E52" i="19"/>
  <c r="AE52" i="19"/>
  <c r="AF52" i="19"/>
  <c r="F52" i="19"/>
  <c r="M47" i="18"/>
  <c r="Y47" i="18"/>
  <c r="AK47" i="18"/>
  <c r="Z47" i="18"/>
  <c r="T47" i="18"/>
  <c r="J47" i="18"/>
  <c r="V47" i="18"/>
  <c r="AH47" i="18"/>
  <c r="G46" i="18"/>
  <c r="Q47" i="18"/>
  <c r="AC47" i="18"/>
  <c r="E47" i="18"/>
  <c r="G35" i="18"/>
  <c r="F47" i="18"/>
  <c r="H47" i="18"/>
  <c r="AF47" i="18"/>
  <c r="N47" i="18"/>
  <c r="AL47" i="18"/>
  <c r="P47" i="18"/>
  <c r="AE47" i="18"/>
  <c r="Z65" i="17"/>
  <c r="Q65" i="17"/>
  <c r="AC65" i="17"/>
  <c r="G64" i="17"/>
  <c r="E65" i="17"/>
  <c r="F65" i="17"/>
  <c r="S65" i="17"/>
  <c r="AE65" i="17"/>
  <c r="AF65" i="17"/>
  <c r="M65" i="17"/>
  <c r="AK65" i="17"/>
  <c r="N65" i="17"/>
  <c r="AL65" i="17"/>
  <c r="G47" i="15"/>
  <c r="G49" i="15" s="1"/>
  <c r="G51" i="15" s="1"/>
  <c r="AL66" i="16"/>
  <c r="AN66" i="16"/>
  <c r="AI66" i="16"/>
  <c r="AK66" i="16"/>
  <c r="AF66" i="16"/>
  <c r="AE66" i="16"/>
  <c r="Y66" i="16"/>
  <c r="T66" i="16"/>
  <c r="V66" i="16"/>
  <c r="Q66" i="16"/>
  <c r="H66" i="16"/>
  <c r="G70" i="21" l="1"/>
  <c r="G79" i="23"/>
  <c r="G47" i="18"/>
  <c r="G67" i="24"/>
  <c r="G57" i="20"/>
  <c r="G36" i="25"/>
  <c r="G52" i="19"/>
  <c r="G65" i="17"/>
  <c r="G66" i="16"/>
  <c r="G46" i="22"/>
  <c r="G50" i="15"/>
  <c r="K66" i="16"/>
  <c r="AC66" i="16"/>
  <c r="W66" i="16"/>
  <c r="AH66" i="16"/>
  <c r="S66" i="16"/>
  <c r="H22" i="15" l="1"/>
  <c r="J22" i="15"/>
  <c r="P22" i="15"/>
  <c r="AD16" i="15"/>
  <c r="AF16" i="15" s="1"/>
  <c r="AD17" i="15"/>
  <c r="AF17" i="15" s="1"/>
  <c r="AD18" i="15"/>
  <c r="AF18" i="15" s="1"/>
  <c r="AD19" i="15"/>
  <c r="AF19" i="15" s="1"/>
  <c r="AD20" i="15"/>
  <c r="AF20" i="15" s="1"/>
  <c r="AD38" i="15"/>
  <c r="AD39" i="15"/>
  <c r="AD40" i="15"/>
  <c r="F42" i="15"/>
  <c r="H42" i="15"/>
  <c r="H48" i="15" s="1"/>
  <c r="J42" i="15"/>
  <c r="J48" i="15" s="1"/>
  <c r="N48" i="15"/>
  <c r="P48" i="15"/>
  <c r="AF42" i="15"/>
  <c r="AG29" i="15" l="1"/>
  <c r="AF48" i="15"/>
  <c r="AF51" i="15" s="1"/>
  <c r="AD42" i="15"/>
  <c r="AD48" i="15" s="1"/>
  <c r="AD51" i="15" s="1"/>
  <c r="F48" i="15"/>
  <c r="J47" i="15"/>
  <c r="J49" i="15" s="1"/>
  <c r="X47" i="15"/>
  <c r="T47" i="15"/>
  <c r="Z47" i="15"/>
  <c r="AG34" i="15"/>
  <c r="AG40" i="15"/>
  <c r="AG27" i="15"/>
  <c r="AG28" i="15"/>
  <c r="AG39" i="15"/>
  <c r="AG32" i="15"/>
  <c r="R47" i="15"/>
  <c r="AG33" i="15"/>
  <c r="AG38" i="15"/>
  <c r="P47" i="15"/>
  <c r="P49" i="15" s="1"/>
  <c r="P50" i="15" s="1"/>
  <c r="AG31" i="15"/>
  <c r="H47" i="15"/>
  <c r="AG37" i="15"/>
  <c r="F22" i="15"/>
  <c r="F47" i="15" s="1"/>
  <c r="AG30" i="15"/>
  <c r="AG36" i="15"/>
  <c r="V47" i="15"/>
  <c r="AG35" i="15"/>
  <c r="L22" i="15"/>
  <c r="L47" i="15" s="1"/>
  <c r="H49" i="15" l="1"/>
  <c r="H50" i="15" s="1"/>
  <c r="Z49" i="15"/>
  <c r="Z51" i="15" s="1"/>
  <c r="X49" i="15"/>
  <c r="X51" i="15" s="1"/>
  <c r="R49" i="15"/>
  <c r="R51" i="15" s="1"/>
  <c r="T49" i="15"/>
  <c r="T51" i="15" s="1"/>
  <c r="V49" i="15"/>
  <c r="V51" i="15" s="1"/>
  <c r="F49" i="15"/>
  <c r="F50" i="15" s="1"/>
  <c r="J50" i="15"/>
  <c r="J51" i="15"/>
  <c r="H51" i="15"/>
  <c r="L49" i="15"/>
  <c r="L50" i="15" s="1"/>
  <c r="P51" i="15"/>
  <c r="Z50" i="15" l="1"/>
  <c r="V50" i="15"/>
  <c r="X50" i="15"/>
  <c r="T50" i="15"/>
  <c r="R50" i="15"/>
  <c r="F51" i="15"/>
  <c r="L51" i="15"/>
  <c r="AC47" i="15" l="1"/>
  <c r="AC49" i="15" l="1"/>
  <c r="AC51" i="15" s="1"/>
  <c r="AC50" i="15" l="1"/>
  <c r="AE6" i="15"/>
  <c r="AE22" i="15" s="1"/>
  <c r="AD6" i="15" l="1"/>
  <c r="N22" i="15"/>
  <c r="N47" i="15" s="1"/>
  <c r="AF6" i="15" l="1"/>
  <c r="AF22" i="15" s="1"/>
  <c r="AG6" i="15" s="1"/>
  <c r="AD22" i="15"/>
  <c r="N49" i="15"/>
  <c r="N51" i="15" s="1"/>
  <c r="AG8" i="15" l="1"/>
  <c r="AG7" i="15"/>
  <c r="AG5" i="15"/>
  <c r="AG9" i="15"/>
  <c r="N50" i="15"/>
  <c r="AG15" i="15" l="1"/>
  <c r="AG13" i="15"/>
  <c r="AG11" i="15"/>
  <c r="AG14" i="15"/>
  <c r="AG12" i="15"/>
  <c r="AG10" i="15"/>
  <c r="AG19" i="15"/>
  <c r="AG16" i="15"/>
  <c r="AG18" i="15"/>
  <c r="AG17" i="15"/>
  <c r="AG20" i="15"/>
  <c r="AB66" i="16" l="1"/>
  <c r="BB16" i="27" l="1"/>
  <c r="BD11" i="27" l="1"/>
  <c r="BD16" i="27" s="1"/>
  <c r="BD37" i="27" s="1"/>
  <c r="BB37" i="27"/>
  <c r="BE11" i="27" l="1"/>
  <c r="BG11" i="27" s="1"/>
  <c r="BG16" i="27" s="1"/>
  <c r="BG37" i="27" s="1"/>
  <c r="BC16" i="27"/>
  <c r="BC37" i="27" s="1"/>
  <c r="BB39" i="27"/>
  <c r="BB41" i="27" s="1"/>
  <c r="BF11" i="27"/>
  <c r="BF16" i="27" s="1"/>
  <c r="BF37" i="27" s="1"/>
  <c r="BF39" i="27" l="1"/>
  <c r="BF41" i="27" s="1"/>
  <c r="BG39" i="27"/>
  <c r="BG41" i="27" s="1"/>
  <c r="BE16" i="27"/>
  <c r="BD39" i="27"/>
  <c r="BD41" i="27" s="1"/>
  <c r="CJ11" i="27"/>
  <c r="CJ6" i="27"/>
  <c r="CJ5" i="27"/>
  <c r="CJ10" i="27"/>
  <c r="CJ14" i="27"/>
  <c r="CJ7" i="27"/>
  <c r="CJ13" i="27"/>
  <c r="CJ9" i="27"/>
  <c r="CJ4" i="27"/>
  <c r="CJ8" i="27"/>
  <c r="CJ12" i="27"/>
  <c r="BB40" i="27"/>
  <c r="BC39" i="27"/>
  <c r="BC41" i="27" s="1"/>
  <c r="BE37" i="27" l="1"/>
  <c r="BE39" i="27" s="1"/>
  <c r="BE41" i="27" s="1"/>
  <c r="BG40" i="27"/>
  <c r="BF40" i="27"/>
  <c r="BC40" i="27"/>
  <c r="BD40" i="27"/>
  <c r="BE40" i="27" l="1"/>
</calcChain>
</file>

<file path=xl/sharedStrings.xml><?xml version="1.0" encoding="utf-8"?>
<sst xmlns="http://schemas.openxmlformats.org/spreadsheetml/2006/main" count="3769" uniqueCount="170">
  <si>
    <t>Ngwe Taung 700ml</t>
  </si>
  <si>
    <t>Columbus 175ml Super Red Smooth</t>
  </si>
  <si>
    <t>Columbus 350ml Super Red Smooth</t>
  </si>
  <si>
    <t>Columbus 700ml Super Red Smooth</t>
  </si>
  <si>
    <t>Columbus 175ml</t>
  </si>
  <si>
    <t>Columbus 350ml</t>
  </si>
  <si>
    <t>Columbus 700ml</t>
  </si>
  <si>
    <t>Formula Rum 350ml</t>
  </si>
  <si>
    <t>Formula Rum 700ml</t>
  </si>
  <si>
    <t>ဇေယျဝတီ Red (ပု)</t>
  </si>
  <si>
    <t>Total</t>
  </si>
  <si>
    <t>Market (%)</t>
  </si>
  <si>
    <t>Wholesales (%)</t>
  </si>
  <si>
    <t>Total Sales</t>
  </si>
  <si>
    <t>Market</t>
  </si>
  <si>
    <t>Wholesales</t>
  </si>
  <si>
    <t>December</t>
  </si>
  <si>
    <t>November</t>
  </si>
  <si>
    <t>October</t>
  </si>
  <si>
    <t xml:space="preserve">January </t>
  </si>
  <si>
    <t>Names</t>
  </si>
  <si>
    <t xml:space="preserve">No </t>
  </si>
  <si>
    <t>Sale Data Percentage</t>
  </si>
  <si>
    <t>100%</t>
  </si>
  <si>
    <t>Market Total</t>
  </si>
  <si>
    <t>Van 4</t>
  </si>
  <si>
    <t>Van 6</t>
  </si>
  <si>
    <t>Van 9</t>
  </si>
  <si>
    <t>Chang Sone</t>
  </si>
  <si>
    <t>Van 5</t>
  </si>
  <si>
    <t>Bagoda-3</t>
  </si>
  <si>
    <t>Phar Pun</t>
  </si>
  <si>
    <t>Yay</t>
  </si>
  <si>
    <t>KawKareik</t>
  </si>
  <si>
    <t>Van 1</t>
  </si>
  <si>
    <t>ThaHtone</t>
  </si>
  <si>
    <t>Mudon</t>
  </si>
  <si>
    <t>Van 2</t>
  </si>
  <si>
    <t>Paung</t>
  </si>
  <si>
    <t>Hpa-an</t>
  </si>
  <si>
    <t>Van 3</t>
  </si>
  <si>
    <t>Maw La Myaing</t>
  </si>
  <si>
    <t>Average</t>
  </si>
  <si>
    <t>Contirbution wise Priority Town</t>
  </si>
  <si>
    <t>Van</t>
  </si>
  <si>
    <t>TownShip</t>
  </si>
  <si>
    <t>No</t>
  </si>
  <si>
    <t>Wholesales Total</t>
  </si>
  <si>
    <t>Than Phyu ZaYat</t>
  </si>
  <si>
    <t>All Total</t>
  </si>
  <si>
    <t>Pk</t>
  </si>
  <si>
    <t>အမျိုးအမည်</t>
  </si>
  <si>
    <t>စဉ်</t>
  </si>
  <si>
    <t>Van 7</t>
  </si>
  <si>
    <t>Van 8</t>
  </si>
  <si>
    <t>Jan to Dec</t>
  </si>
  <si>
    <t>BT</t>
  </si>
  <si>
    <t>Liter.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</si>
  <si>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</si>
  <si>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</si>
  <si>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</si>
  <si>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</si>
  <si>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</si>
  <si>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</si>
  <si>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</si>
  <si>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</si>
  <si>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2025 - Sales Details MLM (မော်လမြိုင်)</t>
  </si>
  <si>
    <t>"Zay" Vodka 700-ml</t>
  </si>
  <si>
    <t>"Zay" Vodka (1 Liter)</t>
  </si>
  <si>
    <t>"Zay" (1 Liter)</t>
  </si>
  <si>
    <t>"Zay" (0.6 Liter)</t>
  </si>
  <si>
    <t>"Zay" (0.35 Liter)</t>
  </si>
  <si>
    <t>"Zay" Vodka</t>
  </si>
  <si>
    <t>"Zay" - 640ml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</si>
  <si>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</si>
  <si>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</si>
  <si>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</si>
  <si>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</si>
  <si>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</si>
  <si>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</si>
  <si>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</si>
  <si>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</si>
  <si>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</si>
  <si>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</si>
  <si>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</si>
  <si>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</si>
  <si>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</si>
  <si>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</si>
  <si>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 xml:space="preserve">Zayawaddy Red </t>
  </si>
  <si>
    <t>Zeyawaddy Rum (43%)</t>
  </si>
  <si>
    <t>Dagon Tamarind (1 Liter)</t>
  </si>
  <si>
    <t xml:space="preserve">Dagon Pineapple </t>
  </si>
  <si>
    <t xml:space="preserve">Dagon </t>
  </si>
  <si>
    <t>Liter</t>
  </si>
  <si>
    <t>ML</t>
  </si>
  <si>
    <t xml:space="preserve">Packing </t>
  </si>
  <si>
    <t>1 * 12</t>
  </si>
  <si>
    <t>1 * 40</t>
  </si>
  <si>
    <t>1 * 24</t>
  </si>
  <si>
    <t>1 * 14</t>
  </si>
  <si>
    <t>1 * 48</t>
  </si>
  <si>
    <t>Mawlamyaing Report  (2025)</t>
  </si>
  <si>
    <t>2025 - Sales Details MLM (Hpa-An)</t>
  </si>
  <si>
    <t>2025 - Sales Details MLM (MuDon)</t>
  </si>
  <si>
    <t>2025 - Sales Details MLM (Paung)</t>
  </si>
  <si>
    <t>2025 - Sales Details MLM (ThaHtone)</t>
  </si>
  <si>
    <t>2025 - Sales Details MLM (KawKariek)</t>
  </si>
  <si>
    <t>2025 - Sales Details MLM (PharPon)</t>
  </si>
  <si>
    <t>2025 - Sales Details MLM (Chaung Sone)</t>
  </si>
  <si>
    <t>2025 - Sales Details MLM (Than Phyu Zayat)</t>
  </si>
  <si>
    <t>Market ( Townwise Report ) (2025)</t>
  </si>
  <si>
    <t>2025 - Sales Details MLM (MawLaMyaing)</t>
  </si>
  <si>
    <t>2025 - Sales Details MLM (Yaye)</t>
  </si>
  <si>
    <t>January</t>
  </si>
  <si>
    <t xml:space="preserve">January 
</t>
  </si>
  <si>
    <t>Town wise 
Contribution</t>
  </si>
  <si>
    <t>2024 Average</t>
  </si>
  <si>
    <t>Li</t>
  </si>
  <si>
    <t>"Zay" Vodka 640ml</t>
  </si>
  <si>
    <t>1*14</t>
  </si>
  <si>
    <t>Zay 1 Liter</t>
  </si>
  <si>
    <t>Bottle</t>
  </si>
  <si>
    <t>Town wise Contribution</t>
  </si>
  <si>
    <t>2025 Total</t>
  </si>
  <si>
    <t>Average - 2024</t>
  </si>
  <si>
    <t>2024 Total</t>
  </si>
  <si>
    <t>Maw La Myaing Region ( Townwise Report ) (2024, 2025) (BE Bottle &amp; Liter)</t>
  </si>
  <si>
    <t>2024 - Sales Details MLM (MawLaMyaing)</t>
  </si>
  <si>
    <t>2024 - Sales Details MLM (Hpa-An)</t>
  </si>
  <si>
    <t>Toal</t>
  </si>
  <si>
    <t>1* 14</t>
  </si>
  <si>
    <t>1* 24</t>
  </si>
  <si>
    <t>2024 - Sales Details MLM (MuDon)</t>
  </si>
  <si>
    <t>2024 - Sales Details MLM (Paung)</t>
  </si>
  <si>
    <t>Toatl</t>
  </si>
  <si>
    <t>1*12</t>
  </si>
  <si>
    <t>2024- Sales Details MLM (ThaHtone)</t>
  </si>
  <si>
    <t>2024 - Sales Details MLM (Yaye)</t>
  </si>
  <si>
    <t>2024 - Sales Details MLM (PharPon)</t>
  </si>
  <si>
    <t>Tatoal</t>
  </si>
  <si>
    <t>2024- Sales Details MLM (မော်လမြိုင်)</t>
  </si>
  <si>
    <t>2024 - Sales Details MLM (Chaung Sone)</t>
  </si>
  <si>
    <t>2024- Sales Details MLM (Than Phyu Zayat)</t>
  </si>
  <si>
    <t>2024- Sales Details MLM (KawKariek)</t>
  </si>
  <si>
    <t>"Zay" Vodka- 640ml</t>
  </si>
  <si>
    <t>"Zay"Vodka - 640ml</t>
  </si>
  <si>
    <t>KK1Li-25%</t>
  </si>
  <si>
    <t>KK1Li-40%</t>
  </si>
  <si>
    <t>Mone Nae Kon Ki</t>
  </si>
  <si>
    <t>ရွှေမန်း</t>
  </si>
  <si>
    <t>Zayawaddy Red 24</t>
  </si>
  <si>
    <t>1*24</t>
  </si>
  <si>
    <t>dagom</t>
  </si>
  <si>
    <t>2026 Total</t>
  </si>
  <si>
    <t>2026 - Sales Details MLM (MawLaMyaing)</t>
  </si>
  <si>
    <t>2026 - Sales Details MLM (Hpa-An)</t>
  </si>
  <si>
    <t>2026 - Sales Details MLM (Paung)</t>
  </si>
  <si>
    <t>2026 - Sales Details MLM (MuDon)</t>
  </si>
  <si>
    <t>2026 - Sales Details MLM (ThaHtone)</t>
  </si>
  <si>
    <t>2026 - Sales Details MLM (KawKariek)</t>
  </si>
  <si>
    <t>2026 - Sales Details MLM (Yaye)</t>
  </si>
  <si>
    <t>2026 - Sales Details MLM (PharPon)</t>
  </si>
  <si>
    <t>2026 - Sales Details MLM (မော်လမြိုင်)</t>
  </si>
  <si>
    <t>2026 - Sales Details MLM (Chaung Sone)</t>
  </si>
  <si>
    <t>2026 - Sales Details MLM (Than Phyu Zayat)</t>
  </si>
  <si>
    <t>Thein ZatYat</t>
  </si>
  <si>
    <t>Average - 2025</t>
  </si>
  <si>
    <t>2026 - Sales Details MLM (Thein Zayat)</t>
  </si>
  <si>
    <t>Zayawaddy Red -30%</t>
  </si>
  <si>
    <t>Dagon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</si>
</sst>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10000455]0"/>
    <numFmt numFmtId="166" formatCode="_(* #,##0.0_);_(* \(#,##0.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Pyidaungsu"/>
      <family val="2"/>
    </font>
    <font>
      <sz val="10"/>
      <color theme="1"/>
      <name val="Pyidaungsu"/>
      <family val="2"/>
    </font>
    <font>
      <sz val="10"/>
      <name val="Pyidaungsu"/>
      <family val="2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Pyidaungsu"/>
      <family val="2"/>
    </font>
    <font>
      <b/>
      <sz val="10"/>
      <name val="Pyidaungsu"/>
      <family val="2"/>
    </font>
    <font>
      <sz val="8"/>
      <name val="Calibri"/>
      <family val="2"/>
      <scheme val="minor"/>
    </font>
    <font>
      <b/>
      <sz val="11"/>
      <name val="Pyidaungsu"/>
      <family val="2"/>
    </font>
    <font>
      <b/>
      <sz val="11"/>
      <color rgb="FFFF0000"/>
      <name val="Pyidaungsu"/>
      <family val="2"/>
    </font>
    <font>
      <sz val="11"/>
      <name val="Pyidaungsu"/>
      <family val="2"/>
    </font>
    <font>
      <b/>
      <sz val="13"/>
      <name val="Pyidaungsu"/>
      <family val="2"/>
    </font>
    <font>
      <sz val="10"/>
      <color rgb="FFFF0000"/>
      <name val="Pyidaungsu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theme="7"/>
      </top>
      <bottom style="thin">
        <color theme="7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259">
    <xf numFmtId="0" fontId="0" fillId="0" borderId="0" xfId="0"/>
    <xf numFmtId="0" fontId="3" fillId="0" borderId="2" xfId="3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5" quotePrefix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5" fillId="0" borderId="5" xfId="2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9" fontId="5" fillId="0" borderId="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2" fillId="3" borderId="11" xfId="1" applyNumberFormat="1" applyFont="1" applyFill="1" applyBorder="1" applyAlignment="1">
      <alignment horizontal="center" vertical="center"/>
    </xf>
    <xf numFmtId="164" fontId="2" fillId="5" borderId="5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6" borderId="13" xfId="1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2" fontId="9" fillId="6" borderId="7" xfId="0" quotePrefix="1" applyNumberFormat="1" applyFont="1" applyFill="1" applyBorder="1" applyAlignment="1">
      <alignment horizontal="center" vertical="center"/>
    </xf>
    <xf numFmtId="164" fontId="9" fillId="6" borderId="18" xfId="1" applyNumberFormat="1" applyFont="1" applyFill="1" applyBorder="1" applyAlignment="1">
      <alignment horizontal="center" vertical="center"/>
    </xf>
    <xf numFmtId="164" fontId="9" fillId="6" borderId="2" xfId="1" applyNumberFormat="1" applyFont="1" applyFill="1" applyBorder="1" applyAlignment="1">
      <alignment horizontal="center" vertical="center"/>
    </xf>
    <xf numFmtId="164" fontId="9" fillId="6" borderId="3" xfId="1" applyNumberFormat="1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165" fontId="9" fillId="6" borderId="2" xfId="0" applyNumberFormat="1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164" fontId="3" fillId="0" borderId="18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" fontId="3" fillId="8" borderId="20" xfId="0" applyNumberFormat="1" applyFont="1" applyFill="1" applyBorder="1" applyAlignment="1">
      <alignment horizontal="center" vertical="center"/>
    </xf>
    <xf numFmtId="164" fontId="3" fillId="2" borderId="18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0" borderId="0" xfId="5" applyFont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5" borderId="3" xfId="1" applyNumberFormat="1" applyFont="1" applyFill="1" applyBorder="1" applyAlignment="1">
      <alignment horizontal="center" wrapText="1"/>
    </xf>
    <xf numFmtId="165" fontId="3" fillId="0" borderId="2" xfId="0" applyNumberFormat="1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2" xfId="5" applyFont="1" applyFill="1" applyBorder="1" applyAlignment="1">
      <alignment horizontal="center"/>
    </xf>
    <xf numFmtId="164" fontId="9" fillId="0" borderId="25" xfId="1" applyNumberFormat="1" applyFont="1" applyBorder="1" applyAlignment="1">
      <alignment horizontal="center"/>
    </xf>
    <xf numFmtId="0" fontId="3" fillId="0" borderId="2" xfId="3" applyFont="1" applyBorder="1" applyAlignment="1">
      <alignment horizontal="left" vertical="center"/>
    </xf>
    <xf numFmtId="0" fontId="5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9" fontId="9" fillId="6" borderId="7" xfId="2" quotePrefix="1" applyFont="1" applyFill="1" applyBorder="1" applyAlignment="1">
      <alignment horizontal="center" vertical="center"/>
    </xf>
    <xf numFmtId="0" fontId="8" fillId="0" borderId="0" xfId="5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3" xfId="1" applyNumberFormat="1" applyFont="1" applyBorder="1" applyAlignment="1">
      <alignment horizontal="center" vertical="center"/>
    </xf>
    <xf numFmtId="166" fontId="3" fillId="2" borderId="2" xfId="1" applyNumberFormat="1" applyFont="1" applyFill="1" applyBorder="1" applyAlignment="1">
      <alignment horizontal="center" vertical="center"/>
    </xf>
    <xf numFmtId="166" fontId="4" fillId="5" borderId="3" xfId="1" applyNumberFormat="1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10" borderId="18" xfId="0" quotePrefix="1" applyFont="1" applyFill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10" borderId="18" xfId="0" quotePrefix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64" fontId="9" fillId="6" borderId="18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2" fillId="6" borderId="33" xfId="1" applyNumberFormat="1" applyFont="1" applyFill="1" applyBorder="1" applyAlignment="1">
      <alignment horizontal="center" vertical="center"/>
    </xf>
    <xf numFmtId="164" fontId="2" fillId="5" borderId="34" xfId="1" applyNumberFormat="1" applyFont="1" applyFill="1" applyBorder="1" applyAlignment="1">
      <alignment horizontal="center" vertical="center"/>
    </xf>
    <xf numFmtId="164" fontId="2" fillId="3" borderId="35" xfId="1" applyNumberFormat="1" applyFont="1" applyFill="1" applyBorder="1" applyAlignment="1">
      <alignment horizontal="center" vertical="center"/>
    </xf>
    <xf numFmtId="9" fontId="5" fillId="0" borderId="36" xfId="2" applyFont="1" applyBorder="1" applyAlignment="1">
      <alignment horizontal="center" vertical="center"/>
    </xf>
    <xf numFmtId="9" fontId="5" fillId="0" borderId="34" xfId="2" applyFont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9" fontId="5" fillId="0" borderId="20" xfId="2" applyFont="1" applyBorder="1" applyAlignment="1">
      <alignment horizontal="center" vertical="center"/>
    </xf>
    <xf numFmtId="9" fontId="5" fillId="0" borderId="7" xfId="2" applyFont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43" fontId="3" fillId="0" borderId="2" xfId="1" applyFont="1" applyBorder="1" applyAlignment="1">
      <alignment vertical="center"/>
    </xf>
    <xf numFmtId="164" fontId="3" fillId="0" borderId="2" xfId="1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0" fontId="3" fillId="0" borderId="4" xfId="3" applyFont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1" applyNumberFormat="1" applyFont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right"/>
    </xf>
    <xf numFmtId="164" fontId="3" fillId="0" borderId="2" xfId="1" applyNumberFormat="1" applyFont="1" applyFill="1" applyBorder="1" applyAlignment="1">
      <alignment horizontal="center" vertical="center"/>
    </xf>
    <xf numFmtId="0" fontId="9" fillId="6" borderId="37" xfId="0" applyFont="1" applyFill="1" applyBorder="1" applyAlignment="1">
      <alignment vertical="center"/>
    </xf>
    <xf numFmtId="9" fontId="5" fillId="0" borderId="39" xfId="2" applyFont="1" applyBorder="1" applyAlignment="1">
      <alignment horizontal="center" vertical="center"/>
    </xf>
    <xf numFmtId="9" fontId="5" fillId="0" borderId="41" xfId="2" applyFont="1" applyBorder="1" applyAlignment="1">
      <alignment horizontal="center" vertical="center"/>
    </xf>
    <xf numFmtId="9" fontId="5" fillId="0" borderId="19" xfId="2" applyFont="1" applyBorder="1" applyAlignment="1">
      <alignment horizontal="center" vertical="center"/>
    </xf>
    <xf numFmtId="9" fontId="5" fillId="0" borderId="17" xfId="2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6" borderId="43" xfId="1" applyNumberFormat="1" applyFont="1" applyFill="1" applyBorder="1" applyAlignment="1">
      <alignment horizontal="center" vertical="center"/>
    </xf>
    <xf numFmtId="164" fontId="2" fillId="6" borderId="10" xfId="1" applyNumberFormat="1" applyFont="1" applyFill="1" applyBorder="1" applyAlignment="1">
      <alignment horizontal="center" vertical="center"/>
    </xf>
    <xf numFmtId="164" fontId="2" fillId="6" borderId="21" xfId="1" applyNumberFormat="1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164" fontId="2" fillId="5" borderId="41" xfId="1" applyNumberFormat="1" applyFont="1" applyFill="1" applyBorder="1" applyAlignment="1">
      <alignment horizontal="center" vertical="center"/>
    </xf>
    <xf numFmtId="164" fontId="2" fillId="5" borderId="7" xfId="1" applyNumberFormat="1" applyFont="1" applyFill="1" applyBorder="1" applyAlignment="1">
      <alignment horizontal="center" vertical="center"/>
    </xf>
    <xf numFmtId="164" fontId="2" fillId="5" borderId="17" xfId="1" applyNumberFormat="1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164" fontId="2" fillId="3" borderId="12" xfId="1" applyNumberFormat="1" applyFont="1" applyFill="1" applyBorder="1" applyAlignment="1">
      <alignment horizontal="center" vertical="center"/>
    </xf>
    <xf numFmtId="43" fontId="3" fillId="0" borderId="2" xfId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43" fontId="3" fillId="0" borderId="2" xfId="0" applyNumberFormat="1" applyFont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164" fontId="3" fillId="6" borderId="3" xfId="1" applyNumberFormat="1" applyFont="1" applyFill="1" applyBorder="1" applyAlignment="1">
      <alignment horizontal="center" vertical="center" wrapText="1"/>
    </xf>
    <xf numFmtId="164" fontId="15" fillId="5" borderId="3" xfId="1" applyNumberFormat="1" applyFont="1" applyFill="1" applyBorder="1" applyAlignment="1">
      <alignment horizontal="center" wrapText="1"/>
    </xf>
    <xf numFmtId="164" fontId="15" fillId="5" borderId="2" xfId="1" applyNumberFormat="1" applyFont="1" applyFill="1" applyBorder="1" applyAlignment="1">
      <alignment horizontal="center"/>
    </xf>
    <xf numFmtId="164" fontId="15" fillId="5" borderId="2" xfId="1" applyNumberFormat="1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center"/>
    </xf>
    <xf numFmtId="164" fontId="3" fillId="7" borderId="2" xfId="1" applyNumberFormat="1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10" borderId="2" xfId="0" quotePrefix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164" fontId="15" fillId="2" borderId="2" xfId="1" applyNumberFormat="1" applyFont="1" applyFill="1" applyBorder="1" applyAlignment="1">
      <alignment horizontal="center" vertical="center"/>
    </xf>
    <xf numFmtId="164" fontId="15" fillId="0" borderId="2" xfId="1" applyNumberFormat="1" applyFont="1" applyBorder="1" applyAlignment="1">
      <alignment vertical="center"/>
    </xf>
    <xf numFmtId="1" fontId="3" fillId="8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64" fontId="15" fillId="0" borderId="2" xfId="1" applyNumberFormat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164" fontId="9" fillId="6" borderId="2" xfId="1" applyNumberFormat="1" applyFont="1" applyFill="1" applyBorder="1" applyAlignment="1">
      <alignment horizontal="center" vertical="center" wrapText="1"/>
    </xf>
    <xf numFmtId="164" fontId="4" fillId="6" borderId="2" xfId="1" applyNumberFormat="1" applyFont="1" applyFill="1" applyBorder="1" applyAlignment="1">
      <alignment horizontal="center" vertical="center" wrapText="1"/>
    </xf>
    <xf numFmtId="164" fontId="4" fillId="6" borderId="2" xfId="1" applyNumberFormat="1" applyFont="1" applyFill="1" applyBorder="1" applyAlignment="1">
      <alignment horizontal="center" vertical="center"/>
    </xf>
    <xf numFmtId="9" fontId="9" fillId="6" borderId="2" xfId="2" quotePrefix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2" fontId="9" fillId="6" borderId="2" xfId="0" quotePrefix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6" borderId="2" xfId="1" applyNumberFormat="1" applyFont="1" applyFill="1" applyBorder="1" applyAlignment="1">
      <alignment horizontal="center" vertical="center"/>
    </xf>
    <xf numFmtId="164" fontId="15" fillId="6" borderId="2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4" fontId="15" fillId="3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9" fontId="5" fillId="0" borderId="2" xfId="2" applyFont="1" applyBorder="1" applyAlignment="1">
      <alignment horizontal="center" vertical="center"/>
    </xf>
    <xf numFmtId="9" fontId="4" fillId="0" borderId="2" xfId="2" applyFont="1" applyBorder="1" applyAlignment="1">
      <alignment horizontal="center" vertical="center"/>
    </xf>
    <xf numFmtId="164" fontId="15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11" borderId="2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9" fontId="3" fillId="0" borderId="0" xfId="2" applyFont="1" applyAlignment="1">
      <alignment horizontal="center" vertical="center"/>
    </xf>
    <xf numFmtId="164" fontId="3" fillId="12" borderId="2" xfId="1" applyNumberFormat="1" applyFont="1" applyFill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0" fontId="3" fillId="0" borderId="18" xfId="3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2" borderId="3" xfId="1" applyNumberFormat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2" fillId="13" borderId="2" xfId="0" applyNumberFormat="1" applyFont="1" applyFill="1" applyBorder="1" applyAlignment="1">
      <alignment horizontal="center" vertical="center"/>
    </xf>
    <xf numFmtId="0" fontId="7" fillId="0" borderId="2" xfId="5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/>
    </xf>
    <xf numFmtId="9" fontId="2" fillId="0" borderId="2" xfId="2" applyFont="1" applyBorder="1" applyAlignment="1">
      <alignment horizontal="center" vertical="center"/>
    </xf>
    <xf numFmtId="0" fontId="9" fillId="10" borderId="45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17" fontId="9" fillId="10" borderId="45" xfId="0" applyNumberFormat="1" applyFont="1" applyFill="1" applyBorder="1" applyAlignment="1">
      <alignment horizontal="center" vertical="center"/>
    </xf>
    <xf numFmtId="17" fontId="9" fillId="10" borderId="23" xfId="0" applyNumberFormat="1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left" vertical="center"/>
    </xf>
    <xf numFmtId="0" fontId="9" fillId="10" borderId="46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45" xfId="0" applyFont="1" applyFill="1" applyBorder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center" wrapText="1"/>
    </xf>
    <xf numFmtId="0" fontId="9" fillId="10" borderId="47" xfId="0" quotePrefix="1" applyFont="1" applyFill="1" applyBorder="1" applyAlignment="1">
      <alignment horizontal="center" vertical="center"/>
    </xf>
    <xf numFmtId="0" fontId="9" fillId="10" borderId="48" xfId="0" quotePrefix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3" fillId="9" borderId="3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11" fillId="10" borderId="18" xfId="0" quotePrefix="1" applyFont="1" applyFill="1" applyBorder="1" applyAlignment="1">
      <alignment horizontal="center" vertical="center"/>
    </xf>
    <xf numFmtId="0" fontId="11" fillId="10" borderId="3" xfId="0" quotePrefix="1" applyFont="1" applyFill="1" applyBorder="1" applyAlignment="1">
      <alignment horizontal="center" vertical="center"/>
    </xf>
    <xf numFmtId="0" fontId="13" fillId="10" borderId="18" xfId="0" quotePrefix="1" applyFont="1" applyFill="1" applyBorder="1" applyAlignment="1">
      <alignment horizontal="center" vertical="center"/>
    </xf>
    <xf numFmtId="0" fontId="13" fillId="10" borderId="3" xfId="0" quotePrefix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12" fillId="9" borderId="24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5" fillId="7" borderId="42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 wrapText="1"/>
    </xf>
    <xf numFmtId="0" fontId="11" fillId="10" borderId="28" xfId="0" applyFont="1" applyFill="1" applyBorder="1" applyAlignment="1">
      <alignment horizontal="center" vertical="center" wrapText="1"/>
    </xf>
    <xf numFmtId="0" fontId="11" fillId="10" borderId="31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10" borderId="32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9" fillId="10" borderId="18" xfId="0" applyFont="1" applyFill="1" applyBorder="1" applyAlignment="1">
      <alignment horizontal="center" wrapText="1"/>
    </xf>
    <xf numFmtId="0" fontId="9" fillId="10" borderId="24" xfId="0" applyFont="1" applyFill="1" applyBorder="1" applyAlignment="1">
      <alignment horizontal="center" wrapText="1"/>
    </xf>
    <xf numFmtId="0" fontId="9" fillId="10" borderId="3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wrapText="1"/>
    </xf>
    <xf numFmtId="0" fontId="4" fillId="5" borderId="24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11" fillId="10" borderId="18" xfId="0" applyFont="1" applyFill="1" applyBorder="1" applyAlignment="1">
      <alignment horizontal="center" wrapText="1"/>
    </xf>
    <xf numFmtId="0" fontId="11" fillId="10" borderId="24" xfId="0" applyFont="1" applyFill="1" applyBorder="1" applyAlignment="1">
      <alignment horizontal="center" wrapText="1"/>
    </xf>
    <xf numFmtId="0" fontId="11" fillId="10" borderId="3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164" fontId="3" fillId="10" borderId="18" xfId="1" applyNumberFormat="1" applyFont="1" applyFill="1" applyBorder="1" applyAlignment="1">
      <alignment horizontal="center" wrapText="1"/>
    </xf>
    <xf numFmtId="164" fontId="3" fillId="10" borderId="24" xfId="1" applyNumberFormat="1" applyFont="1" applyFill="1" applyBorder="1" applyAlignment="1">
      <alignment horizontal="center" wrapText="1"/>
    </xf>
    <xf numFmtId="164" fontId="3" fillId="10" borderId="3" xfId="1" applyNumberFormat="1" applyFont="1" applyFill="1" applyBorder="1" applyAlignment="1">
      <alignment horizontal="center" wrapText="1"/>
    </xf>
  </cellXfs>
  <cellStyles count="8">
    <cellStyle name="Comma" xfId="1" builtinId="3"/>
    <cellStyle name="Comma 2" xfId="4" xr:uid="{F689500E-7353-4B06-852F-8FFA59901C96}"/>
    <cellStyle name="Comma 2 2" xfId="7" xr:uid="{6308A525-BCC1-48E7-9800-4ADDF8980B3F}"/>
    <cellStyle name="Hyperlink" xfId="5" builtinId="8"/>
    <cellStyle name="Normal" xfId="0" builtinId="0"/>
    <cellStyle name="Normal 19" xfId="6" xr:uid="{B40D5825-D696-4B35-8412-4649B721E8B3}"/>
    <cellStyle name="Normal 2" xfId="3" xr:uid="{E9FC5500-C97D-412A-95D1-46ACE98778A8}"/>
    <cellStyle name="Percent" xfId="2" builtinId="5"/>
  </cellStyles>
  <dxfs count="0"/>
  <tableStyles count="0" defaultTableStyle="TableStyleMedium2" defaultPivotStyle="PivotStyleLight16"/>
  <colors>
    <mruColors>
      <color rgb="FF3C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329F-6F2A-48FD-AEE5-E84BE7F0C977}">
  <sheetPr>
    <tabColor rgb="FF92D050"/>
  </sheetPr>
  <dimension ref="A1:CN49"/>
  <sheetViews>
    <sheetView tabSelected="1" topLeftCell="AV1" zoomScaleNormal="100" workbookViewId="0">
      <selection activeCell="CM17" sqref="CM17"/>
    </sheetView>
  </sheetViews>
  <sheetFormatPr defaultColWidth="8" defaultRowHeight="23.1" customHeight="1" x14ac:dyDescent="0.25"/>
  <cols>
    <col min="1" max="1" width="4" style="2" bestFit="1" customWidth="1"/>
    <col min="2" max="2" width="16.85546875" style="2" bestFit="1" customWidth="1"/>
    <col min="3" max="3" width="7.140625" style="2" customWidth="1"/>
    <col min="4" max="23" width="9.140625" style="2" customWidth="1"/>
    <col min="24" max="27" width="10.140625" style="2" customWidth="1"/>
    <col min="28" max="29" width="11.42578125" style="2" customWidth="1"/>
    <col min="30" max="30" width="10.140625" style="2" customWidth="1"/>
    <col min="31" max="31" width="10.140625" style="143" customWidth="1"/>
    <col min="32" max="32" width="10.140625" style="2" customWidth="1"/>
    <col min="33" max="33" width="10.140625" style="143" customWidth="1"/>
    <col min="34" max="34" width="10.140625" style="2" customWidth="1"/>
    <col min="35" max="35" width="10.140625" style="143" customWidth="1"/>
    <col min="36" max="36" width="10.140625" style="2" customWidth="1"/>
    <col min="37" max="37" width="10.140625" style="143" customWidth="1"/>
    <col min="38" max="38" width="10.140625" style="2" customWidth="1"/>
    <col min="39" max="39" width="10.140625" style="143" customWidth="1"/>
    <col min="40" max="40" width="10.140625" style="2" customWidth="1"/>
    <col min="41" max="41" width="10.140625" style="143" customWidth="1"/>
    <col min="42" max="42" width="10.140625" style="2" customWidth="1"/>
    <col min="43" max="43" width="10.140625" style="143" customWidth="1"/>
    <col min="44" max="44" width="8" style="2" customWidth="1"/>
    <col min="45" max="45" width="8" style="143" customWidth="1"/>
    <col min="46" max="46" width="9.28515625" style="2" customWidth="1"/>
    <col min="47" max="47" width="9" style="143" customWidth="1"/>
    <col min="48" max="48" width="8" style="2" customWidth="1"/>
    <col min="49" max="49" width="8.5703125" style="143" customWidth="1"/>
    <col min="50" max="50" width="8.7109375" style="2" customWidth="1"/>
    <col min="51" max="51" width="9.140625" style="143" customWidth="1"/>
    <col min="52" max="52" width="8.28515625" style="2" customWidth="1"/>
    <col min="53" max="53" width="8.28515625" style="143" customWidth="1"/>
    <col min="54" max="54" width="8.28515625" style="2" customWidth="1"/>
    <col min="55" max="55" width="8" style="143" customWidth="1"/>
    <col min="56" max="56" width="11.42578125" style="2" customWidth="1"/>
    <col min="57" max="57" width="11.42578125" style="143" customWidth="1"/>
    <col min="58" max="65" width="9.140625" style="2" customWidth="1"/>
    <col min="66" max="83" width="9.140625" style="2" hidden="1" customWidth="1"/>
    <col min="84" max="87" width="9.140625" style="2" customWidth="1"/>
    <col min="88" max="88" width="11.42578125" style="2" customWidth="1"/>
    <col min="89" max="89" width="28.42578125" style="2" customWidth="1"/>
    <col min="90" max="16384" width="8" style="2"/>
  </cols>
  <sheetData>
    <row r="1" spans="1:92" s="126" customFormat="1" ht="23.1" customHeight="1" thickBot="1" x14ac:dyDescent="0.3">
      <c r="A1" s="185" t="s">
        <v>126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/>
      <c r="BX1" s="185"/>
      <c r="BY1" s="185"/>
      <c r="BZ1" s="185"/>
      <c r="CA1" s="185"/>
      <c r="CB1" s="185"/>
      <c r="CC1" s="185"/>
      <c r="CD1" s="185"/>
      <c r="CE1" s="185"/>
      <c r="CF1" s="185"/>
      <c r="CG1" s="185"/>
      <c r="CH1" s="185"/>
      <c r="CI1" s="185"/>
      <c r="CJ1" s="185"/>
    </row>
    <row r="2" spans="1:92" s="126" customFormat="1" ht="23.1" customHeight="1" x14ac:dyDescent="0.25">
      <c r="A2" s="186" t="s">
        <v>46</v>
      </c>
      <c r="B2" s="186" t="s">
        <v>45</v>
      </c>
      <c r="C2" s="188"/>
      <c r="D2" s="183">
        <v>45292</v>
      </c>
      <c r="E2" s="184"/>
      <c r="F2" s="183">
        <v>45323</v>
      </c>
      <c r="G2" s="184"/>
      <c r="H2" s="183">
        <v>45352</v>
      </c>
      <c r="I2" s="184"/>
      <c r="J2" s="183">
        <v>45383</v>
      </c>
      <c r="K2" s="184"/>
      <c r="L2" s="183">
        <v>45413</v>
      </c>
      <c r="M2" s="184"/>
      <c r="N2" s="183">
        <v>45444</v>
      </c>
      <c r="O2" s="184"/>
      <c r="P2" s="183">
        <v>45474</v>
      </c>
      <c r="Q2" s="184"/>
      <c r="R2" s="183">
        <v>45505</v>
      </c>
      <c r="S2" s="184"/>
      <c r="T2" s="183">
        <v>45536</v>
      </c>
      <c r="U2" s="184"/>
      <c r="V2" s="183">
        <v>45566</v>
      </c>
      <c r="W2" s="184"/>
      <c r="X2" s="183">
        <v>45597</v>
      </c>
      <c r="Y2" s="184"/>
      <c r="Z2" s="183">
        <v>45627</v>
      </c>
      <c r="AA2" s="184"/>
      <c r="AB2" s="181" t="s">
        <v>125</v>
      </c>
      <c r="AC2" s="182"/>
      <c r="AD2" s="189" t="s">
        <v>124</v>
      </c>
      <c r="AE2" s="190"/>
      <c r="AF2" s="183">
        <v>45658</v>
      </c>
      <c r="AG2" s="184"/>
      <c r="AH2" s="183">
        <v>45689</v>
      </c>
      <c r="AI2" s="184"/>
      <c r="AJ2" s="183">
        <v>45717</v>
      </c>
      <c r="AK2" s="184"/>
      <c r="AL2" s="183">
        <v>45748</v>
      </c>
      <c r="AM2" s="184"/>
      <c r="AN2" s="183">
        <v>45778</v>
      </c>
      <c r="AO2" s="184"/>
      <c r="AP2" s="183">
        <v>45809</v>
      </c>
      <c r="AQ2" s="184"/>
      <c r="AR2" s="183">
        <v>45839</v>
      </c>
      <c r="AS2" s="184"/>
      <c r="AT2" s="183">
        <v>45870</v>
      </c>
      <c r="AU2" s="184"/>
      <c r="AV2" s="183">
        <v>45901</v>
      </c>
      <c r="AW2" s="184"/>
      <c r="AX2" s="183">
        <v>45931</v>
      </c>
      <c r="AY2" s="184"/>
      <c r="AZ2" s="183">
        <v>45962</v>
      </c>
      <c r="BA2" s="184"/>
      <c r="BB2" s="183">
        <v>45992</v>
      </c>
      <c r="BC2" s="184"/>
      <c r="BD2" s="181" t="s">
        <v>123</v>
      </c>
      <c r="BE2" s="182"/>
      <c r="BF2" s="189" t="s">
        <v>166</v>
      </c>
      <c r="BG2" s="190"/>
      <c r="BH2" s="183">
        <v>46023</v>
      </c>
      <c r="BI2" s="184"/>
      <c r="BJ2" s="183">
        <v>46054</v>
      </c>
      <c r="BK2" s="184"/>
      <c r="BL2" s="183">
        <v>46082</v>
      </c>
      <c r="BM2" s="184"/>
      <c r="BN2" s="183">
        <v>46113</v>
      </c>
      <c r="BO2" s="184"/>
      <c r="BP2" s="183">
        <v>46143</v>
      </c>
      <c r="BQ2" s="184"/>
      <c r="BR2" s="183">
        <v>46174</v>
      </c>
      <c r="BS2" s="184"/>
      <c r="BT2" s="183">
        <v>46204</v>
      </c>
      <c r="BU2" s="184"/>
      <c r="BV2" s="183">
        <v>46235</v>
      </c>
      <c r="BW2" s="184"/>
      <c r="BX2" s="183">
        <v>46266</v>
      </c>
      <c r="BY2" s="184"/>
      <c r="BZ2" s="183">
        <v>46296</v>
      </c>
      <c r="CA2" s="184"/>
      <c r="CB2" s="183">
        <v>46327</v>
      </c>
      <c r="CC2" s="184"/>
      <c r="CD2" s="183">
        <v>46357</v>
      </c>
      <c r="CE2" s="184"/>
      <c r="CF2" s="181" t="s">
        <v>153</v>
      </c>
      <c r="CG2" s="182"/>
      <c r="CH2" s="191" t="s">
        <v>42</v>
      </c>
      <c r="CI2" s="192"/>
      <c r="CJ2" s="193" t="s">
        <v>122</v>
      </c>
      <c r="CK2" s="193" t="s">
        <v>43</v>
      </c>
    </row>
    <row r="3" spans="1:92" s="126" customFormat="1" ht="20.45" customHeight="1" x14ac:dyDescent="0.25">
      <c r="A3" s="187"/>
      <c r="B3" s="187"/>
      <c r="C3" s="188"/>
      <c r="D3" s="129" t="s">
        <v>121</v>
      </c>
      <c r="E3" s="130" t="s">
        <v>93</v>
      </c>
      <c r="F3" s="129" t="s">
        <v>121</v>
      </c>
      <c r="G3" s="130" t="s">
        <v>93</v>
      </c>
      <c r="H3" s="129" t="s">
        <v>121</v>
      </c>
      <c r="I3" s="130" t="s">
        <v>93</v>
      </c>
      <c r="J3" s="129" t="s">
        <v>121</v>
      </c>
      <c r="K3" s="130" t="s">
        <v>93</v>
      </c>
      <c r="L3" s="129" t="s">
        <v>121</v>
      </c>
      <c r="M3" s="130" t="s">
        <v>93</v>
      </c>
      <c r="N3" s="129" t="s">
        <v>121</v>
      </c>
      <c r="O3" s="130" t="s">
        <v>93</v>
      </c>
      <c r="P3" s="129" t="s">
        <v>121</v>
      </c>
      <c r="Q3" s="130" t="s">
        <v>93</v>
      </c>
      <c r="R3" s="129" t="s">
        <v>121</v>
      </c>
      <c r="S3" s="130" t="s">
        <v>93</v>
      </c>
      <c r="T3" s="129" t="s">
        <v>121</v>
      </c>
      <c r="U3" s="130" t="s">
        <v>93</v>
      </c>
      <c r="V3" s="129" t="s">
        <v>121</v>
      </c>
      <c r="W3" s="130" t="s">
        <v>93</v>
      </c>
      <c r="X3" s="129" t="s">
        <v>121</v>
      </c>
      <c r="Y3" s="130" t="s">
        <v>93</v>
      </c>
      <c r="Z3" s="129" t="s">
        <v>121</v>
      </c>
      <c r="AA3" s="130" t="s">
        <v>93</v>
      </c>
      <c r="AB3" s="129" t="s">
        <v>121</v>
      </c>
      <c r="AC3" s="130" t="s">
        <v>93</v>
      </c>
      <c r="AD3" s="127" t="s">
        <v>121</v>
      </c>
      <c r="AE3" s="131" t="s">
        <v>93</v>
      </c>
      <c r="AF3" s="129" t="s">
        <v>121</v>
      </c>
      <c r="AG3" s="130" t="s">
        <v>93</v>
      </c>
      <c r="AH3" s="129" t="s">
        <v>121</v>
      </c>
      <c r="AI3" s="130" t="s">
        <v>93</v>
      </c>
      <c r="AJ3" s="129" t="s">
        <v>121</v>
      </c>
      <c r="AK3" s="130" t="s">
        <v>93</v>
      </c>
      <c r="AL3" s="129" t="s">
        <v>121</v>
      </c>
      <c r="AM3" s="130" t="s">
        <v>93</v>
      </c>
      <c r="AN3" s="129" t="s">
        <v>121</v>
      </c>
      <c r="AO3" s="130" t="s">
        <v>93</v>
      </c>
      <c r="AP3" s="129" t="s">
        <v>121</v>
      </c>
      <c r="AQ3" s="130" t="s">
        <v>93</v>
      </c>
      <c r="AR3" s="129" t="s">
        <v>121</v>
      </c>
      <c r="AS3" s="130" t="s">
        <v>93</v>
      </c>
      <c r="AT3" s="129" t="s">
        <v>121</v>
      </c>
      <c r="AU3" s="130" t="s">
        <v>93</v>
      </c>
      <c r="AV3" s="129" t="s">
        <v>121</v>
      </c>
      <c r="AW3" s="130" t="s">
        <v>93</v>
      </c>
      <c r="AX3" s="129" t="s">
        <v>121</v>
      </c>
      <c r="AY3" s="130" t="s">
        <v>93</v>
      </c>
      <c r="AZ3" s="129" t="s">
        <v>121</v>
      </c>
      <c r="BA3" s="130" t="s">
        <v>93</v>
      </c>
      <c r="BB3" s="129" t="s">
        <v>121</v>
      </c>
      <c r="BC3" s="130" t="s">
        <v>93</v>
      </c>
      <c r="BD3" s="129" t="s">
        <v>121</v>
      </c>
      <c r="BE3" s="130" t="s">
        <v>93</v>
      </c>
      <c r="BF3" s="128"/>
      <c r="BG3" s="128"/>
      <c r="BH3" s="129" t="s">
        <v>121</v>
      </c>
      <c r="BI3" s="130" t="s">
        <v>93</v>
      </c>
      <c r="BJ3" s="129" t="s">
        <v>121</v>
      </c>
      <c r="BK3" s="130" t="s">
        <v>93</v>
      </c>
      <c r="BL3" s="129" t="s">
        <v>121</v>
      </c>
      <c r="BM3" s="130" t="s">
        <v>93</v>
      </c>
      <c r="BN3" s="129" t="s">
        <v>121</v>
      </c>
      <c r="BO3" s="130" t="s">
        <v>93</v>
      </c>
      <c r="BP3" s="129" t="s">
        <v>121</v>
      </c>
      <c r="BQ3" s="130" t="s">
        <v>93</v>
      </c>
      <c r="BR3" s="129" t="s">
        <v>121</v>
      </c>
      <c r="BS3" s="130" t="s">
        <v>93</v>
      </c>
      <c r="BT3" s="129" t="s">
        <v>121</v>
      </c>
      <c r="BU3" s="130" t="s">
        <v>93</v>
      </c>
      <c r="BV3" s="129" t="s">
        <v>121</v>
      </c>
      <c r="BW3" s="130" t="s">
        <v>93</v>
      </c>
      <c r="BX3" s="129" t="s">
        <v>121</v>
      </c>
      <c r="BY3" s="130" t="s">
        <v>93</v>
      </c>
      <c r="BZ3" s="129" t="s">
        <v>121</v>
      </c>
      <c r="CA3" s="130" t="s">
        <v>93</v>
      </c>
      <c r="CB3" s="129" t="s">
        <v>121</v>
      </c>
      <c r="CC3" s="130" t="s">
        <v>93</v>
      </c>
      <c r="CD3" s="129" t="s">
        <v>121</v>
      </c>
      <c r="CE3" s="130" t="s">
        <v>93</v>
      </c>
      <c r="CF3" s="129" t="s">
        <v>121</v>
      </c>
      <c r="CG3" s="130" t="s">
        <v>93</v>
      </c>
      <c r="CH3" s="128" t="s">
        <v>121</v>
      </c>
      <c r="CI3" s="128" t="s">
        <v>93</v>
      </c>
      <c r="CJ3" s="194"/>
      <c r="CK3" s="194"/>
    </row>
    <row r="4" spans="1:92" s="35" customFormat="1" ht="20.100000000000001" customHeight="1" x14ac:dyDescent="0.5">
      <c r="A4" s="34">
        <v>1</v>
      </c>
      <c r="B4" s="47" t="s">
        <v>41</v>
      </c>
      <c r="C4" s="28"/>
      <c r="D4" s="28">
        <f>'4-MawLaMyaing'!F19</f>
        <v>56202</v>
      </c>
      <c r="E4" s="28">
        <f>'4-MawLaMyaing'!G19</f>
        <v>38107.800000000003</v>
      </c>
      <c r="F4" s="28">
        <f>'4-MawLaMyaing'!I19</f>
        <v>45514</v>
      </c>
      <c r="G4" s="28">
        <f>'4-MawLaMyaing'!J19</f>
        <v>30964.959999999999</v>
      </c>
      <c r="H4" s="28">
        <f>'4-MawLaMyaing'!L19</f>
        <v>53936</v>
      </c>
      <c r="I4" s="28">
        <f>'4-MawLaMyaing'!M19</f>
        <v>35894.960000000006</v>
      </c>
      <c r="J4" s="28">
        <f>'4-MawLaMyaing'!O19</f>
        <v>63394</v>
      </c>
      <c r="K4" s="28">
        <f>'4-MawLaMyaing'!P19</f>
        <v>43411.759999999995</v>
      </c>
      <c r="L4" s="28">
        <f>'4-MawLaMyaing'!R19</f>
        <v>63813</v>
      </c>
      <c r="M4" s="28">
        <f>'4-MawLaMyaing'!S19</f>
        <v>43308.06</v>
      </c>
      <c r="N4" s="28">
        <f>'4-MawLaMyaing'!U19</f>
        <v>71716</v>
      </c>
      <c r="O4" s="28">
        <f>'4-MawLaMyaing'!V19</f>
        <v>50823.759999999995</v>
      </c>
      <c r="P4" s="28">
        <f>'4-MawLaMyaing'!X19</f>
        <v>64060</v>
      </c>
      <c r="Q4" s="28">
        <f>'4-MawLaMyaing'!Y19</f>
        <v>45375.28</v>
      </c>
      <c r="R4" s="28">
        <f>'4-MawLaMyaing'!AA19</f>
        <v>71562</v>
      </c>
      <c r="S4" s="28">
        <f>'4-MawLaMyaing'!AB19</f>
        <v>49290.239999999998</v>
      </c>
      <c r="T4" s="28">
        <f>'4-MawLaMyaing'!AD19</f>
        <v>53115</v>
      </c>
      <c r="U4" s="28">
        <f>'4-MawLaMyaing'!AE19</f>
        <v>37443.42</v>
      </c>
      <c r="V4" s="28">
        <f>'4-MawLaMyaing'!AG19</f>
        <v>83208</v>
      </c>
      <c r="W4" s="28">
        <f>'4-MawLaMyaing'!AH19</f>
        <v>59850.12</v>
      </c>
      <c r="X4" s="28">
        <f>'4-MawLaMyaing'!AJ19</f>
        <v>64196</v>
      </c>
      <c r="Y4" s="28">
        <f>'4-MawLaMyaing'!AK19</f>
        <v>46431.079999999994</v>
      </c>
      <c r="Z4" s="28">
        <f>'4-MawLaMyaing'!AM19</f>
        <v>70903</v>
      </c>
      <c r="AA4" s="28">
        <f>'4-MawLaMyaing'!AN19</f>
        <v>51537.46</v>
      </c>
      <c r="AB4" s="29">
        <f t="shared" ref="AB4:AB15" si="0">SUM(D4+F4+H4+J4+L4+N4+P4+R4+T4+V4+X4+Z4)</f>
        <v>761619</v>
      </c>
      <c r="AC4" s="132">
        <f t="shared" ref="AC4:AC15" si="1">SUM(E4+G4+I4+K4+M4+O4+Q4+S4+U4+W4+Y4+AA4)</f>
        <v>532438.89999999991</v>
      </c>
      <c r="AD4" s="86">
        <f>AB4/12</f>
        <v>63468.25</v>
      </c>
      <c r="AE4" s="133">
        <f>AC4/12</f>
        <v>44369.908333333326</v>
      </c>
      <c r="AF4" s="29">
        <v>72061</v>
      </c>
      <c r="AG4" s="132">
        <v>53802.460000000006</v>
      </c>
      <c r="AH4" s="29">
        <v>73600</v>
      </c>
      <c r="AI4" s="132">
        <v>54732.040000000008</v>
      </c>
      <c r="AJ4" s="29">
        <v>87386</v>
      </c>
      <c r="AK4" s="132">
        <v>62489.119999999995</v>
      </c>
      <c r="AL4" s="29">
        <v>57052</v>
      </c>
      <c r="AM4" s="132">
        <v>40867.839999999997</v>
      </c>
      <c r="AN4" s="29">
        <v>94218</v>
      </c>
      <c r="AO4" s="132">
        <v>73311.360000000001</v>
      </c>
      <c r="AP4" s="29">
        <v>75020</v>
      </c>
      <c r="AQ4" s="132">
        <v>56777.599999999999</v>
      </c>
      <c r="AR4" s="29">
        <v>69718</v>
      </c>
      <c r="AS4" s="132">
        <v>51481.119999999995</v>
      </c>
      <c r="AT4" s="29">
        <v>73507</v>
      </c>
      <c r="AU4" s="132">
        <v>55470.069999999978</v>
      </c>
      <c r="AV4" s="29">
        <v>71613</v>
      </c>
      <c r="AW4" s="132">
        <v>54656.990000000005</v>
      </c>
      <c r="AX4" s="29">
        <v>70493</v>
      </c>
      <c r="AY4" s="132">
        <v>52464.299999999967</v>
      </c>
      <c r="AZ4" s="29">
        <v>59132</v>
      </c>
      <c r="BA4" s="132">
        <v>44412.020000000004</v>
      </c>
      <c r="BB4" s="29">
        <v>68033</v>
      </c>
      <c r="BC4" s="132">
        <v>50739.83</v>
      </c>
      <c r="BD4" s="29">
        <f>+AF4+AH4+AJ4+AL4+AN4+AP4+AR4+AT4+AV4+AX4+AZ4+BB4</f>
        <v>871833</v>
      </c>
      <c r="BE4" s="132">
        <f t="shared" ref="BD4:BE14" si="2">+AG4+AI4+AK4+AM4+AO4+AQ4+AS4+AU4+AW4+AY4+BA4+BC4</f>
        <v>651204.74999999988</v>
      </c>
      <c r="BF4" s="29">
        <f>BD4/12</f>
        <v>72652.75</v>
      </c>
      <c r="BG4" s="29">
        <f>BE4/12</f>
        <v>54267.062499999993</v>
      </c>
      <c r="BH4" s="29">
        <v>56203</v>
      </c>
      <c r="BI4" s="29">
        <v>41060.669999999976</v>
      </c>
      <c r="BJ4" s="29">
        <v>66607</v>
      </c>
      <c r="BK4" s="29">
        <v>50582.769999999975</v>
      </c>
      <c r="BL4" s="29">
        <v>32373</v>
      </c>
      <c r="BM4" s="29">
        <v>24441.729999999992</v>
      </c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>
        <f>BH4+BJ4+BL4+BN4+BP4+BR4+BT4+BV4+BX4+BZ4+CB4+CD4</f>
        <v>155183</v>
      </c>
      <c r="CG4" s="29">
        <f>BI4+BK4+BM4+BO4+BQ4+BS4+BU4+BW4+BY4+CA4+CC4+CE4</f>
        <v>116085.16999999994</v>
      </c>
      <c r="CH4" s="29">
        <f>CF4/2.5</f>
        <v>62073.2</v>
      </c>
      <c r="CI4" s="29">
        <f>CG4/2.5</f>
        <v>46434.067999999977</v>
      </c>
      <c r="CJ4" s="134">
        <f t="shared" ref="CJ4:CJ14" si="3">BF4/$BF$16%</f>
        <v>23.315213336289304</v>
      </c>
      <c r="CK4" s="135">
        <v>14</v>
      </c>
      <c r="CL4" s="114"/>
      <c r="CM4" s="114"/>
    </row>
    <row r="5" spans="1:92" s="35" customFormat="1" ht="20.100000000000001" customHeight="1" x14ac:dyDescent="0.5">
      <c r="A5" s="34">
        <v>2</v>
      </c>
      <c r="B5" s="47" t="s">
        <v>39</v>
      </c>
      <c r="C5" s="28"/>
      <c r="D5" s="28">
        <f>'4-Hpa-An'!F18</f>
        <v>11846</v>
      </c>
      <c r="E5" s="28">
        <f>'4-Hpa-An'!G18</f>
        <v>8761.68</v>
      </c>
      <c r="F5" s="28">
        <f>'4-Hpa-An'!I18</f>
        <v>11808</v>
      </c>
      <c r="G5" s="28">
        <f>'4-Hpa-An'!J18</f>
        <v>8544.24</v>
      </c>
      <c r="H5" s="28">
        <f>'4-Hpa-An'!L18</f>
        <v>16834</v>
      </c>
      <c r="I5" s="28">
        <f>'4-Hpa-An'!M18</f>
        <v>11570.4</v>
      </c>
      <c r="J5" s="28">
        <f>'4-Hpa-An'!O18</f>
        <v>22252</v>
      </c>
      <c r="K5" s="28">
        <f>'4-Hpa-An'!P18</f>
        <v>15247.84</v>
      </c>
      <c r="L5" s="28">
        <f>'4-Hpa-An'!R18</f>
        <v>14478</v>
      </c>
      <c r="M5" s="28">
        <f>'4-Hpa-An'!S18</f>
        <v>10162.08</v>
      </c>
      <c r="N5" s="28">
        <f>'4-Hpa-An'!U18</f>
        <v>19720</v>
      </c>
      <c r="O5" s="28">
        <f>'4-Hpa-An'!V18</f>
        <v>13886.000000000002</v>
      </c>
      <c r="P5" s="28">
        <f>'4-Hpa-An'!X18</f>
        <v>19380</v>
      </c>
      <c r="Q5" s="28">
        <f>'4-Hpa-An'!Y18</f>
        <v>13776.4</v>
      </c>
      <c r="R5" s="28">
        <f>'4-Hpa-An'!AA18</f>
        <v>21800</v>
      </c>
      <c r="S5" s="28">
        <f>'4-Hpa-An'!AB18</f>
        <v>15362.8</v>
      </c>
      <c r="T5" s="28">
        <f>'4-Hpa-An'!AD18</f>
        <v>17740</v>
      </c>
      <c r="U5" s="28">
        <f>'4-Hpa-An'!AE18</f>
        <v>13477.2</v>
      </c>
      <c r="V5" s="28">
        <f>'4-Hpa-An'!AG18</f>
        <v>17980</v>
      </c>
      <c r="W5" s="28">
        <f>'4-Hpa-An'!AH18</f>
        <v>13162.4</v>
      </c>
      <c r="X5" s="28">
        <f>'4-Hpa-An'!AJ18</f>
        <v>14780</v>
      </c>
      <c r="Y5" s="28">
        <f>'4-Hpa-An'!AK18</f>
        <v>10409.6</v>
      </c>
      <c r="Z5" s="28">
        <f>'4-Hpa-An'!AM18</f>
        <v>13940</v>
      </c>
      <c r="AA5" s="28">
        <f>'4-Hpa-An'!AN18</f>
        <v>9553.5999999999985</v>
      </c>
      <c r="AB5" s="29">
        <f t="shared" si="0"/>
        <v>202558</v>
      </c>
      <c r="AC5" s="132">
        <f t="shared" si="1"/>
        <v>143914.23999999999</v>
      </c>
      <c r="AD5" s="86">
        <f t="shared" ref="AD5:AD14" si="4">AB5/12</f>
        <v>16879.833333333332</v>
      </c>
      <c r="AE5" s="133">
        <f t="shared" ref="AE5:AE14" si="5">AC5/12</f>
        <v>11992.853333333333</v>
      </c>
      <c r="AF5" s="29">
        <v>16350</v>
      </c>
      <c r="AG5" s="132">
        <v>12450</v>
      </c>
      <c r="AH5" s="29">
        <v>10260</v>
      </c>
      <c r="AI5" s="132">
        <v>7560</v>
      </c>
      <c r="AJ5" s="29">
        <v>27620</v>
      </c>
      <c r="AK5" s="132">
        <v>20108.400000000001</v>
      </c>
      <c r="AL5" s="29">
        <v>8860</v>
      </c>
      <c r="AM5" s="132">
        <v>6145.6</v>
      </c>
      <c r="AN5" s="29">
        <v>12154</v>
      </c>
      <c r="AO5" s="132">
        <v>8842.56</v>
      </c>
      <c r="AP5" s="29">
        <v>21076</v>
      </c>
      <c r="AQ5" s="132">
        <v>15676.08</v>
      </c>
      <c r="AR5" s="29">
        <v>16294</v>
      </c>
      <c r="AS5" s="132">
        <v>12133.999999999998</v>
      </c>
      <c r="AT5" s="29">
        <v>11930</v>
      </c>
      <c r="AU5" s="132">
        <v>9197.2000000000007</v>
      </c>
      <c r="AV5" s="29">
        <v>17376</v>
      </c>
      <c r="AW5" s="132">
        <v>12421.599999999999</v>
      </c>
      <c r="AX5" s="29">
        <v>15760</v>
      </c>
      <c r="AY5" s="132">
        <v>11460.800000000001</v>
      </c>
      <c r="AZ5" s="29">
        <v>18390</v>
      </c>
      <c r="BA5" s="132">
        <v>13928.400000000001</v>
      </c>
      <c r="BB5" s="29">
        <v>10444</v>
      </c>
      <c r="BC5" s="132">
        <v>8218.4000000000015</v>
      </c>
      <c r="BD5" s="29">
        <f t="shared" si="2"/>
        <v>186514</v>
      </c>
      <c r="BE5" s="132">
        <f t="shared" si="2"/>
        <v>138143.04000000001</v>
      </c>
      <c r="BF5" s="29">
        <f t="shared" ref="BF5:BF14" si="6">BD5/12</f>
        <v>15542.833333333334</v>
      </c>
      <c r="BG5" s="29">
        <f t="shared" ref="BG5:BG14" si="7">BE5/12</f>
        <v>11511.92</v>
      </c>
      <c r="BH5" s="29">
        <v>18556</v>
      </c>
      <c r="BI5" s="29">
        <v>14840.64</v>
      </c>
      <c r="BJ5" s="29">
        <v>13406</v>
      </c>
      <c r="BK5" s="29">
        <v>10399.200000000001</v>
      </c>
      <c r="BL5" s="29">
        <v>11020</v>
      </c>
      <c r="BM5" s="29">
        <v>7744</v>
      </c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>
        <f>BH5+BJ5+BL5+BN5+BP5+BR5+BT5+BV5+BX5+BZ5+CB5+CD5</f>
        <v>42982</v>
      </c>
      <c r="CG5" s="29">
        <f t="shared" ref="CG5:CG15" si="8">BI5+BK5+BM5+BO5+BQ5+BS5+BU5+BW5+BY5+CA5+CC5+CE5</f>
        <v>32983.839999999997</v>
      </c>
      <c r="CH5" s="29">
        <f t="shared" ref="CH5:CH15" si="9">CF5/2.5</f>
        <v>17192.8</v>
      </c>
      <c r="CI5" s="29">
        <f t="shared" ref="CI5:CI15" si="10">CG5/2.5</f>
        <v>13193.535999999998</v>
      </c>
      <c r="CJ5" s="134">
        <f t="shared" si="3"/>
        <v>4.987897567773488</v>
      </c>
      <c r="CK5" s="135">
        <v>2</v>
      </c>
      <c r="CL5" s="114"/>
      <c r="CM5" s="114"/>
    </row>
    <row r="6" spans="1:92" ht="20.25" customHeight="1" x14ac:dyDescent="0.5">
      <c r="A6" s="34">
        <v>3</v>
      </c>
      <c r="B6" s="47" t="s">
        <v>38</v>
      </c>
      <c r="C6" s="28"/>
      <c r="D6" s="28">
        <f>'4-Paung'!F13</f>
        <v>4546</v>
      </c>
      <c r="E6" s="28">
        <f>'4-Paung'!G13</f>
        <v>3030.4</v>
      </c>
      <c r="F6" s="28">
        <f>'4-Paung'!I13</f>
        <v>4120</v>
      </c>
      <c r="G6" s="28">
        <f>'4-Paung'!J13</f>
        <v>2636.8</v>
      </c>
      <c r="H6" s="28">
        <f>'4-Paung'!L13</f>
        <v>3532</v>
      </c>
      <c r="I6" s="28">
        <f>'4-Paung'!M13</f>
        <v>2260.48</v>
      </c>
      <c r="J6" s="28">
        <f>'4-Paung'!O13</f>
        <v>4980</v>
      </c>
      <c r="K6" s="28">
        <f>'4-Paung'!P13</f>
        <v>3398.88</v>
      </c>
      <c r="L6" s="28">
        <f>'4-Paung'!R13</f>
        <v>6232</v>
      </c>
      <c r="M6" s="28">
        <f>'4-Paung'!S13</f>
        <v>4054.0000000000005</v>
      </c>
      <c r="N6" s="28">
        <f>'4-Paung'!U13</f>
        <v>3020</v>
      </c>
      <c r="O6" s="28">
        <f>'4-Paung'!V13</f>
        <v>2084</v>
      </c>
      <c r="P6" s="28">
        <f>'4-Paung'!X13</f>
        <v>6164</v>
      </c>
      <c r="Q6" s="28">
        <f>'4-Paung'!Y13</f>
        <v>4040</v>
      </c>
      <c r="R6" s="28">
        <f>'4-Paung'!AA13</f>
        <v>5300</v>
      </c>
      <c r="S6" s="28">
        <f>'4-Paung'!AB13</f>
        <v>3518</v>
      </c>
      <c r="T6" s="28">
        <f>'4-Paung'!AD13</f>
        <v>4430</v>
      </c>
      <c r="U6" s="28">
        <f>'4-Paung'!AE13</f>
        <v>2939.6</v>
      </c>
      <c r="V6" s="28">
        <f>'4-Paung'!AG13</f>
        <v>3774</v>
      </c>
      <c r="W6" s="28">
        <f>'4-Paung'!AH13</f>
        <v>2462.16</v>
      </c>
      <c r="X6" s="28">
        <f>'4-Paung'!AJ13</f>
        <v>3782</v>
      </c>
      <c r="Y6" s="28">
        <f>'4-Paung'!AK13</f>
        <v>2518.4</v>
      </c>
      <c r="Z6" s="28">
        <f>'4-Paung'!AM13</f>
        <v>5250</v>
      </c>
      <c r="AA6" s="28">
        <f>'4-Paung'!AN13</f>
        <v>3360</v>
      </c>
      <c r="AB6" s="29">
        <f t="shared" si="0"/>
        <v>55130</v>
      </c>
      <c r="AC6" s="132">
        <f t="shared" si="1"/>
        <v>36302.720000000001</v>
      </c>
      <c r="AD6" s="86">
        <f t="shared" si="4"/>
        <v>4594.166666666667</v>
      </c>
      <c r="AE6" s="133">
        <f t="shared" si="5"/>
        <v>3025.2266666666669</v>
      </c>
      <c r="AF6" s="29">
        <v>5476</v>
      </c>
      <c r="AG6" s="132">
        <v>3571.6</v>
      </c>
      <c r="AH6" s="29">
        <v>5740</v>
      </c>
      <c r="AI6" s="132">
        <v>3738.4</v>
      </c>
      <c r="AJ6" s="29">
        <v>5880</v>
      </c>
      <c r="AK6" s="132">
        <v>3835.2</v>
      </c>
      <c r="AL6" s="29">
        <v>4766</v>
      </c>
      <c r="AM6" s="132">
        <v>3052.4</v>
      </c>
      <c r="AN6" s="29">
        <v>5836</v>
      </c>
      <c r="AO6" s="132">
        <v>3798.3999999999996</v>
      </c>
      <c r="AP6" s="29">
        <v>5326</v>
      </c>
      <c r="AQ6" s="132">
        <v>3410.7999999999997</v>
      </c>
      <c r="AR6" s="29">
        <v>5256</v>
      </c>
      <c r="AS6" s="132">
        <v>3366</v>
      </c>
      <c r="AT6" s="29">
        <v>2924</v>
      </c>
      <c r="AU6" s="132">
        <v>1897.9999999999995</v>
      </c>
      <c r="AV6" s="29">
        <v>4616</v>
      </c>
      <c r="AW6" s="132">
        <v>2960</v>
      </c>
      <c r="AX6" s="29">
        <v>1990</v>
      </c>
      <c r="AY6" s="132">
        <v>1273.5999999999999</v>
      </c>
      <c r="AZ6" s="29">
        <v>6932</v>
      </c>
      <c r="BA6" s="132">
        <v>4501.2800000000007</v>
      </c>
      <c r="BB6" s="29">
        <v>2970</v>
      </c>
      <c r="BC6" s="132">
        <v>1900.7999999999997</v>
      </c>
      <c r="BD6" s="29">
        <f t="shared" si="2"/>
        <v>57712</v>
      </c>
      <c r="BE6" s="132">
        <f t="shared" si="2"/>
        <v>37306.480000000003</v>
      </c>
      <c r="BF6" s="29">
        <f t="shared" si="6"/>
        <v>4809.333333333333</v>
      </c>
      <c r="BG6" s="29">
        <f t="shared" si="7"/>
        <v>3108.8733333333334</v>
      </c>
      <c r="BH6" s="29">
        <v>4586</v>
      </c>
      <c r="BI6" s="29">
        <v>2998.3999999999996</v>
      </c>
      <c r="BJ6" s="29">
        <v>3150</v>
      </c>
      <c r="BK6" s="29">
        <v>2015.9999999999998</v>
      </c>
      <c r="BL6" s="29">
        <v>5206</v>
      </c>
      <c r="BM6" s="29">
        <v>3333.9999999999995</v>
      </c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>
        <f t="shared" ref="CF6:CF15" si="11">BH6+BJ6+BL6+BN6+BP6+BR6+BT6+BV6+BX6+BZ6+CB6+CD6</f>
        <v>12942</v>
      </c>
      <c r="CG6" s="29">
        <f t="shared" si="8"/>
        <v>8348.4</v>
      </c>
      <c r="CH6" s="29">
        <f t="shared" si="9"/>
        <v>5176.8</v>
      </c>
      <c r="CI6" s="29">
        <f t="shared" si="10"/>
        <v>3339.3599999999997</v>
      </c>
      <c r="CJ6" s="134">
        <f t="shared" si="3"/>
        <v>1.5433776790554248</v>
      </c>
      <c r="CK6" s="135">
        <v>11</v>
      </c>
      <c r="CL6" s="159"/>
      <c r="CM6" s="159"/>
    </row>
    <row r="7" spans="1:92" ht="20.100000000000001" customHeight="1" x14ac:dyDescent="0.5">
      <c r="A7" s="34">
        <v>4</v>
      </c>
      <c r="B7" s="47" t="s">
        <v>36</v>
      </c>
      <c r="C7" s="28"/>
      <c r="D7" s="28">
        <f>'4-Mu Don'!F8</f>
        <v>11340</v>
      </c>
      <c r="E7" s="28">
        <f>'4-Mu Don'!G8</f>
        <v>7257.6</v>
      </c>
      <c r="F7" s="28">
        <f>'4-Mu Don'!I8</f>
        <v>12306</v>
      </c>
      <c r="G7" s="28">
        <f>'4-Mu Don'!J8</f>
        <v>7875.84</v>
      </c>
      <c r="H7" s="28">
        <f>'4-Mu Don'!L8</f>
        <v>9870</v>
      </c>
      <c r="I7" s="28">
        <f>'4-Mu Don'!M8</f>
        <v>6316.8</v>
      </c>
      <c r="J7" s="28">
        <f>'4-Mu Don'!O8</f>
        <v>9842</v>
      </c>
      <c r="K7" s="28">
        <f>'4-Mu Don'!P8</f>
        <v>6298.88</v>
      </c>
      <c r="L7" s="28">
        <f>'4-Mu Don'!R8</f>
        <v>14826</v>
      </c>
      <c r="M7" s="28">
        <f>'4-Mu Don'!S8</f>
        <v>9488.64</v>
      </c>
      <c r="N7" s="28">
        <f>'4-Mu Don'!U8</f>
        <v>12180</v>
      </c>
      <c r="O7" s="28">
        <f>'4-Mu Don'!V8</f>
        <v>7795.2</v>
      </c>
      <c r="P7" s="28">
        <f>'4-Mu Don'!X8</f>
        <v>15400</v>
      </c>
      <c r="Q7" s="28">
        <f>'4-Mu Don'!Y8</f>
        <v>9856</v>
      </c>
      <c r="R7" s="28">
        <f>'4-Mu Don'!AA8</f>
        <v>11410</v>
      </c>
      <c r="S7" s="28">
        <f>'4-Mu Don'!AB8</f>
        <v>7302.4000000000005</v>
      </c>
      <c r="T7" s="28">
        <f>'4-Mu Don'!AD8</f>
        <v>9870</v>
      </c>
      <c r="U7" s="28">
        <f>'4-Mu Don'!AE8</f>
        <v>6316.8</v>
      </c>
      <c r="V7" s="28">
        <f>'4-Mu Don'!AG8</f>
        <v>14014</v>
      </c>
      <c r="W7" s="28">
        <f>'4-Mu Don'!AH8</f>
        <v>8968.9599999999991</v>
      </c>
      <c r="X7" s="28">
        <f>'4-Mu Don'!AJ8</f>
        <v>13484</v>
      </c>
      <c r="Y7" s="28">
        <f>'4-Mu Don'!AK8</f>
        <v>8629.76</v>
      </c>
      <c r="Z7" s="28">
        <f>'4-Mu Don'!AM8</f>
        <v>16160</v>
      </c>
      <c r="AA7" s="28">
        <f>'4-Mu Don'!AN8</f>
        <v>10342.400000000001</v>
      </c>
      <c r="AB7" s="29">
        <f t="shared" si="0"/>
        <v>150702</v>
      </c>
      <c r="AC7" s="132">
        <f t="shared" si="1"/>
        <v>96449.279999999999</v>
      </c>
      <c r="AD7" s="86">
        <f t="shared" si="4"/>
        <v>12558.5</v>
      </c>
      <c r="AE7" s="133">
        <f t="shared" si="5"/>
        <v>8037.44</v>
      </c>
      <c r="AF7" s="29">
        <v>18000</v>
      </c>
      <c r="AG7" s="132">
        <v>11520</v>
      </c>
      <c r="AH7" s="29">
        <v>15470</v>
      </c>
      <c r="AI7" s="132">
        <v>10116.799999999999</v>
      </c>
      <c r="AJ7" s="29">
        <v>25462</v>
      </c>
      <c r="AK7" s="132">
        <v>16425.280000000002</v>
      </c>
      <c r="AL7" s="29">
        <v>13890</v>
      </c>
      <c r="AM7" s="132">
        <v>8932.7999999999993</v>
      </c>
      <c r="AN7" s="29">
        <v>17472</v>
      </c>
      <c r="AO7" s="132">
        <v>11182.08</v>
      </c>
      <c r="AP7" s="29">
        <v>22736</v>
      </c>
      <c r="AQ7" s="132">
        <v>14551.04</v>
      </c>
      <c r="AR7" s="29">
        <v>16280</v>
      </c>
      <c r="AS7" s="132">
        <v>10635.2</v>
      </c>
      <c r="AT7" s="29">
        <v>13930</v>
      </c>
      <c r="AU7" s="132">
        <v>8915.2000000000007</v>
      </c>
      <c r="AV7" s="29">
        <v>16142</v>
      </c>
      <c r="AW7" s="132">
        <v>10330.880000000001</v>
      </c>
      <c r="AX7" s="29">
        <v>20144</v>
      </c>
      <c r="AY7" s="132">
        <v>13626.560000000003</v>
      </c>
      <c r="AZ7" s="29">
        <v>19950</v>
      </c>
      <c r="BA7" s="132">
        <v>13178.4</v>
      </c>
      <c r="BB7" s="29">
        <v>20996</v>
      </c>
      <c r="BC7" s="132">
        <v>13761.44</v>
      </c>
      <c r="BD7" s="29">
        <f t="shared" si="2"/>
        <v>220472</v>
      </c>
      <c r="BE7" s="132">
        <f t="shared" si="2"/>
        <v>143175.67999999999</v>
      </c>
      <c r="BF7" s="29">
        <f t="shared" si="6"/>
        <v>18372.666666666668</v>
      </c>
      <c r="BG7" s="29">
        <f t="shared" si="7"/>
        <v>11931.306666666665</v>
      </c>
      <c r="BH7" s="29">
        <v>17328</v>
      </c>
      <c r="BI7" s="29">
        <v>11400.96</v>
      </c>
      <c r="BJ7" s="29">
        <v>14072</v>
      </c>
      <c r="BK7" s="29">
        <v>9546.0799999999981</v>
      </c>
      <c r="BL7" s="29">
        <v>9770</v>
      </c>
      <c r="BM7" s="29">
        <v>6317.5999999999995</v>
      </c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>
        <f t="shared" si="11"/>
        <v>41170</v>
      </c>
      <c r="CG7" s="29">
        <f t="shared" si="8"/>
        <v>27264.639999999996</v>
      </c>
      <c r="CH7" s="29">
        <f t="shared" si="9"/>
        <v>16468</v>
      </c>
      <c r="CI7" s="29">
        <f t="shared" si="10"/>
        <v>10905.855999999998</v>
      </c>
      <c r="CJ7" s="134">
        <f t="shared" si="3"/>
        <v>5.896027925850909</v>
      </c>
      <c r="CK7" s="135">
        <v>8</v>
      </c>
      <c r="CL7" s="159"/>
      <c r="CM7" s="159"/>
    </row>
    <row r="8" spans="1:92" ht="20.100000000000001" customHeight="1" x14ac:dyDescent="0.5">
      <c r="A8" s="34">
        <v>5</v>
      </c>
      <c r="B8" s="47" t="s">
        <v>35</v>
      </c>
      <c r="C8" s="28"/>
      <c r="D8" s="28">
        <f>'4-ThaHtone'!F16</f>
        <v>25850</v>
      </c>
      <c r="E8" s="28">
        <f>'4-ThaHtone'!G16</f>
        <v>17150.240000000002</v>
      </c>
      <c r="F8" s="28">
        <f>'4-ThaHtone'!I16</f>
        <v>21570</v>
      </c>
      <c r="G8" s="28">
        <f>'4-ThaHtone'!J16</f>
        <v>14078.399999999998</v>
      </c>
      <c r="H8" s="28">
        <f>'4-ThaHtone'!L16</f>
        <v>23948</v>
      </c>
      <c r="I8" s="28">
        <f>'4-ThaHtone'!M16</f>
        <v>15737.119999999999</v>
      </c>
      <c r="J8" s="28">
        <f>'4-ThaHtone'!O16</f>
        <v>28878</v>
      </c>
      <c r="K8" s="28">
        <f>'4-ThaHtone'!P16</f>
        <v>18844.8</v>
      </c>
      <c r="L8" s="28">
        <f>'4-ThaHtone'!R16</f>
        <v>19746</v>
      </c>
      <c r="M8" s="28">
        <f>'4-ThaHtone'!S16</f>
        <v>12889.439999999999</v>
      </c>
      <c r="N8" s="28">
        <f>'4-ThaHtone'!U16</f>
        <v>23630</v>
      </c>
      <c r="O8" s="28">
        <f>'4-ThaHtone'!V16</f>
        <v>15368</v>
      </c>
      <c r="P8" s="28">
        <f>'4-ThaHtone'!X16</f>
        <v>23622</v>
      </c>
      <c r="Q8" s="28">
        <f>'4-ThaHtone'!Y16</f>
        <v>15262.079999999998</v>
      </c>
      <c r="R8" s="28">
        <f>'4-ThaHtone'!AA16</f>
        <v>27836</v>
      </c>
      <c r="S8" s="28">
        <f>'4-ThaHtone'!AB16</f>
        <v>18085.760000000002</v>
      </c>
      <c r="T8" s="28">
        <f>'4-ThaHtone'!AD16</f>
        <v>14486</v>
      </c>
      <c r="U8" s="28">
        <f>'4-ThaHtone'!AE16</f>
        <v>9530.24</v>
      </c>
      <c r="V8" s="28">
        <f>'4-ThaHtone'!AG16</f>
        <v>23086</v>
      </c>
      <c r="W8" s="28">
        <f>'4-ThaHtone'!AH16</f>
        <v>15174.640000000001</v>
      </c>
      <c r="X8" s="28">
        <f>'4-ThaHtone'!AJ16</f>
        <v>12490</v>
      </c>
      <c r="Y8" s="28">
        <f>'4-ThaHtone'!AK16</f>
        <v>8112.4</v>
      </c>
      <c r="Z8" s="28">
        <f>'4-ThaHtone'!AM16</f>
        <v>13314</v>
      </c>
      <c r="AA8" s="28">
        <f>'4-ThaHtone'!AN16</f>
        <v>8875.2000000000007</v>
      </c>
      <c r="AB8" s="29">
        <f t="shared" si="0"/>
        <v>258456</v>
      </c>
      <c r="AC8" s="132">
        <f t="shared" si="1"/>
        <v>169108.32</v>
      </c>
      <c r="AD8" s="86">
        <f t="shared" si="4"/>
        <v>21538</v>
      </c>
      <c r="AE8" s="133">
        <f t="shared" si="5"/>
        <v>14092.36</v>
      </c>
      <c r="AF8" s="29">
        <v>10500</v>
      </c>
      <c r="AG8" s="132">
        <v>6720</v>
      </c>
      <c r="AH8" s="29">
        <v>17230</v>
      </c>
      <c r="AI8" s="132">
        <v>11304.4</v>
      </c>
      <c r="AJ8" s="29">
        <v>17144</v>
      </c>
      <c r="AK8" s="132">
        <v>11195.36</v>
      </c>
      <c r="AL8" s="29">
        <v>17402</v>
      </c>
      <c r="AM8" s="132">
        <v>11543.36</v>
      </c>
      <c r="AN8" s="29">
        <v>14050</v>
      </c>
      <c r="AO8" s="132">
        <v>9280</v>
      </c>
      <c r="AP8" s="29">
        <v>14250</v>
      </c>
      <c r="AQ8" s="132">
        <v>9156</v>
      </c>
      <c r="AR8" s="29">
        <v>16590</v>
      </c>
      <c r="AS8" s="132">
        <v>10718.4</v>
      </c>
      <c r="AT8" s="29">
        <v>18890</v>
      </c>
      <c r="AU8" s="132">
        <v>13205.6</v>
      </c>
      <c r="AV8" s="29">
        <v>12120</v>
      </c>
      <c r="AW8" s="132">
        <v>7828.7999999999993</v>
      </c>
      <c r="AX8" s="29">
        <v>12550</v>
      </c>
      <c r="AY8" s="132">
        <v>8140</v>
      </c>
      <c r="AZ8" s="29">
        <v>16978</v>
      </c>
      <c r="BA8" s="132">
        <v>11729.92</v>
      </c>
      <c r="BB8" s="29">
        <v>15180</v>
      </c>
      <c r="BC8" s="132">
        <v>10816.8</v>
      </c>
      <c r="BD8" s="29">
        <f t="shared" si="2"/>
        <v>182884</v>
      </c>
      <c r="BE8" s="132">
        <f t="shared" si="2"/>
        <v>121638.64000000001</v>
      </c>
      <c r="BF8" s="29">
        <f t="shared" si="6"/>
        <v>15240.333333333334</v>
      </c>
      <c r="BG8" s="29">
        <f t="shared" si="7"/>
        <v>10136.553333333335</v>
      </c>
      <c r="BH8" s="29">
        <v>8410</v>
      </c>
      <c r="BI8" s="29">
        <v>5785.6</v>
      </c>
      <c r="BJ8" s="29">
        <v>5400</v>
      </c>
      <c r="BK8" s="29">
        <v>3528</v>
      </c>
      <c r="BL8" s="29">
        <v>1200</v>
      </c>
      <c r="BM8" s="29">
        <v>840</v>
      </c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>
        <f t="shared" si="11"/>
        <v>15010</v>
      </c>
      <c r="CG8" s="29">
        <f t="shared" si="8"/>
        <v>10153.6</v>
      </c>
      <c r="CH8" s="29">
        <f t="shared" si="9"/>
        <v>6004</v>
      </c>
      <c r="CI8" s="29">
        <f t="shared" si="10"/>
        <v>4061.44</v>
      </c>
      <c r="CJ8" s="134">
        <f t="shared" si="3"/>
        <v>4.8908213795462352</v>
      </c>
      <c r="CK8" s="135">
        <v>7</v>
      </c>
      <c r="CL8" s="159"/>
      <c r="CM8" s="159"/>
      <c r="CN8" s="36"/>
    </row>
    <row r="9" spans="1:92" ht="20.100000000000001" customHeight="1" x14ac:dyDescent="0.45">
      <c r="A9" s="34">
        <v>6</v>
      </c>
      <c r="B9" s="47" t="s">
        <v>33</v>
      </c>
      <c r="C9" s="28"/>
      <c r="D9" s="28">
        <f>'4-KawKariek'!F7</f>
        <v>0</v>
      </c>
      <c r="E9" s="28">
        <f>'4-KawKariek'!G7</f>
        <v>0</v>
      </c>
      <c r="F9" s="28">
        <f>'4-KawKariek'!I7</f>
        <v>0</v>
      </c>
      <c r="G9" s="28">
        <f>'4-KawKariek'!J7</f>
        <v>0</v>
      </c>
      <c r="H9" s="28">
        <f>'4-KawKariek'!L7</f>
        <v>288</v>
      </c>
      <c r="I9" s="28">
        <f>'4-KawKariek'!M7</f>
        <v>201.6</v>
      </c>
      <c r="J9" s="28">
        <f>'4-KawKariek'!O7</f>
        <v>480</v>
      </c>
      <c r="K9" s="28">
        <f>'4-KawKariek'!P7</f>
        <v>336</v>
      </c>
      <c r="L9" s="86">
        <f>'4-KawKariek'!R7</f>
        <v>108</v>
      </c>
      <c r="M9" s="28">
        <f>'4-KawKariek'!S7</f>
        <v>75.599999999999994</v>
      </c>
      <c r="N9" s="28">
        <f>'4-KawKariek'!U7</f>
        <v>0</v>
      </c>
      <c r="O9" s="28">
        <f>'4-KawKariek'!V7</f>
        <v>0</v>
      </c>
      <c r="P9" s="28">
        <f>'4-KawKariek'!X7</f>
        <v>0</v>
      </c>
      <c r="Q9" s="28">
        <f>'4-KawKariek'!Y7</f>
        <v>0</v>
      </c>
      <c r="R9" s="28">
        <f>'4-KawKariek'!AA7</f>
        <v>0</v>
      </c>
      <c r="S9" s="28">
        <f>'4-KawKariek'!AB7</f>
        <v>0</v>
      </c>
      <c r="T9" s="28">
        <f>'4-KawKariek'!AD7</f>
        <v>0</v>
      </c>
      <c r="U9" s="28">
        <f>'4-KawKariek'!AE7</f>
        <v>0</v>
      </c>
      <c r="V9" s="28">
        <f>'4-KawKariek'!AG7</f>
        <v>0</v>
      </c>
      <c r="W9" s="28">
        <f>'4-KawKariek'!AH7</f>
        <v>0</v>
      </c>
      <c r="X9" s="28">
        <f>'4-KawKariek'!AJ7</f>
        <v>348</v>
      </c>
      <c r="Y9" s="28">
        <f>'4-KawKariek'!AK7</f>
        <v>243.6</v>
      </c>
      <c r="Z9" s="28">
        <f>'4-KawKariek'!AM7</f>
        <v>0</v>
      </c>
      <c r="AA9" s="28">
        <f>'4-KawKariek'!AN7</f>
        <v>0</v>
      </c>
      <c r="AB9" s="29">
        <f t="shared" si="0"/>
        <v>1224</v>
      </c>
      <c r="AC9" s="132">
        <f t="shared" si="1"/>
        <v>856.80000000000007</v>
      </c>
      <c r="AD9" s="86">
        <f t="shared" si="4"/>
        <v>102</v>
      </c>
      <c r="AE9" s="133">
        <f t="shared" si="5"/>
        <v>71.400000000000006</v>
      </c>
      <c r="AF9" s="29"/>
      <c r="AG9" s="132"/>
      <c r="AH9" s="29"/>
      <c r="AI9" s="132"/>
      <c r="AJ9" s="29"/>
      <c r="AK9" s="132"/>
      <c r="AL9" s="29"/>
      <c r="AM9" s="132"/>
      <c r="AN9" s="29"/>
      <c r="AO9" s="132"/>
      <c r="AP9" s="29"/>
      <c r="AQ9" s="132"/>
      <c r="AR9" s="29"/>
      <c r="AS9" s="132"/>
      <c r="AT9" s="29"/>
      <c r="AU9" s="132"/>
      <c r="AV9" s="29">
        <v>132</v>
      </c>
      <c r="AW9" s="132">
        <v>132</v>
      </c>
      <c r="AX9" s="29">
        <v>240</v>
      </c>
      <c r="AY9" s="132">
        <v>240</v>
      </c>
      <c r="AZ9" s="28"/>
      <c r="BA9" s="136"/>
      <c r="BB9" s="29"/>
      <c r="BC9" s="132"/>
      <c r="BD9" s="29">
        <f t="shared" si="2"/>
        <v>372</v>
      </c>
      <c r="BE9" s="132">
        <f t="shared" si="2"/>
        <v>372</v>
      </c>
      <c r="BF9" s="29">
        <f t="shared" si="6"/>
        <v>31</v>
      </c>
      <c r="BG9" s="29">
        <f t="shared" si="7"/>
        <v>31</v>
      </c>
      <c r="BH9" s="29">
        <v>120</v>
      </c>
      <c r="BI9" s="29">
        <v>120</v>
      </c>
      <c r="BJ9" s="29">
        <v>60</v>
      </c>
      <c r="BK9" s="29">
        <v>60</v>
      </c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>
        <f t="shared" si="11"/>
        <v>180</v>
      </c>
      <c r="CG9" s="29">
        <f t="shared" si="8"/>
        <v>180</v>
      </c>
      <c r="CH9" s="29">
        <f t="shared" si="9"/>
        <v>72</v>
      </c>
      <c r="CI9" s="29">
        <f t="shared" si="10"/>
        <v>72</v>
      </c>
      <c r="CJ9" s="134">
        <f t="shared" si="3"/>
        <v>9.9483035869250419E-3</v>
      </c>
      <c r="CK9" s="135">
        <v>10</v>
      </c>
      <c r="CL9" s="159"/>
      <c r="CM9" s="159"/>
    </row>
    <row r="10" spans="1:92" ht="20.25" customHeight="1" x14ac:dyDescent="0.5">
      <c r="A10" s="34">
        <v>7</v>
      </c>
      <c r="B10" s="47" t="s">
        <v>32</v>
      </c>
      <c r="C10" s="28"/>
      <c r="D10" s="28">
        <f>'4-Yaye'!F9</f>
        <v>169526</v>
      </c>
      <c r="E10" s="28">
        <f>'4-Yaye'!G9</f>
        <v>122709.44</v>
      </c>
      <c r="F10" s="28">
        <f>'4-Yaye'!I9</f>
        <v>146888</v>
      </c>
      <c r="G10" s="28">
        <f>'4-Yaye'!J9</f>
        <v>105106.40000000001</v>
      </c>
      <c r="H10" s="28">
        <f>'4-Yaye'!L9</f>
        <v>191080</v>
      </c>
      <c r="I10" s="28">
        <f>'4-Yaye'!M9</f>
        <v>138966.40000000002</v>
      </c>
      <c r="J10" s="28">
        <f>'4-Yaye'!O9</f>
        <v>181370</v>
      </c>
      <c r="K10" s="28">
        <f>'4-Yaye'!P9</f>
        <v>131329.28</v>
      </c>
      <c r="L10" s="86">
        <f>'4-Yaye'!R9</f>
        <v>192794</v>
      </c>
      <c r="M10" s="28">
        <f>'4-Yaye'!S9</f>
        <v>135816.79999999999</v>
      </c>
      <c r="N10" s="28">
        <f>'4-Yaye'!U9</f>
        <v>181674</v>
      </c>
      <c r="O10" s="28">
        <f>'4-Yaye'!V9</f>
        <v>131823.36000000002</v>
      </c>
      <c r="P10" s="28">
        <f>'4-Yaye'!X9</f>
        <v>174746</v>
      </c>
      <c r="Q10" s="28">
        <f>'4-Yaye'!Y9</f>
        <v>127749.44</v>
      </c>
      <c r="R10" s="28">
        <f>'4-Yaye'!AA9</f>
        <v>215318</v>
      </c>
      <c r="S10" s="28">
        <f>'4-Yaye'!AB9</f>
        <v>160760</v>
      </c>
      <c r="T10" s="28">
        <f>'4-Yaye'!AD9</f>
        <v>185158</v>
      </c>
      <c r="U10" s="28">
        <f>'4-Yaye'!AE9</f>
        <v>138980.79999999999</v>
      </c>
      <c r="V10" s="28">
        <f>'4-Yaye'!AG9</f>
        <v>186142</v>
      </c>
      <c r="W10" s="28">
        <f>'4-Yaye'!AH9</f>
        <v>138640</v>
      </c>
      <c r="X10" s="28">
        <f>'4-Yaye'!AJ9</f>
        <v>135916</v>
      </c>
      <c r="Y10" s="28">
        <f>'4-Yaye'!AK9</f>
        <v>100888</v>
      </c>
      <c r="Z10" s="28">
        <f>'4-Yaye'!AM9</f>
        <v>175596</v>
      </c>
      <c r="AA10" s="28">
        <f>'4-Yaye'!AN9</f>
        <v>134620.80000000002</v>
      </c>
      <c r="AB10" s="29">
        <f t="shared" si="0"/>
        <v>2136208</v>
      </c>
      <c r="AC10" s="132">
        <f t="shared" si="1"/>
        <v>1567390.7200000002</v>
      </c>
      <c r="AD10" s="86">
        <f t="shared" si="4"/>
        <v>178017.33333333334</v>
      </c>
      <c r="AE10" s="133">
        <f t="shared" si="5"/>
        <v>130615.89333333336</v>
      </c>
      <c r="AF10" s="29">
        <v>164430</v>
      </c>
      <c r="AG10" s="132">
        <v>124740</v>
      </c>
      <c r="AH10" s="29">
        <v>167688</v>
      </c>
      <c r="AI10" s="132">
        <v>126108</v>
      </c>
      <c r="AJ10" s="29">
        <v>197792</v>
      </c>
      <c r="AK10" s="132">
        <v>147150.08000000002</v>
      </c>
      <c r="AL10" s="29">
        <v>145772</v>
      </c>
      <c r="AM10" s="132">
        <v>103230.08000000002</v>
      </c>
      <c r="AN10" s="29">
        <v>216684</v>
      </c>
      <c r="AO10" s="132">
        <v>162070.56</v>
      </c>
      <c r="AP10" s="29">
        <v>201666</v>
      </c>
      <c r="AQ10" s="132">
        <v>154869.60000000006</v>
      </c>
      <c r="AR10" s="29">
        <v>188250</v>
      </c>
      <c r="AS10" s="132">
        <v>143419.20000000001</v>
      </c>
      <c r="AT10" s="29">
        <v>179600</v>
      </c>
      <c r="AU10" s="132">
        <v>142354.39999999997</v>
      </c>
      <c r="AV10" s="29">
        <v>186272</v>
      </c>
      <c r="AW10" s="132">
        <v>147484.16</v>
      </c>
      <c r="AX10" s="29">
        <v>176400</v>
      </c>
      <c r="AY10" s="132">
        <v>136785.60000000003</v>
      </c>
      <c r="AZ10" s="28">
        <v>158310</v>
      </c>
      <c r="BA10" s="136">
        <v>126331.19999999998</v>
      </c>
      <c r="BB10" s="29">
        <v>182410</v>
      </c>
      <c r="BC10" s="132">
        <v>147608.79999999999</v>
      </c>
      <c r="BD10" s="29">
        <f t="shared" si="2"/>
        <v>2165274</v>
      </c>
      <c r="BE10" s="132">
        <f t="shared" si="2"/>
        <v>1662151.6799999999</v>
      </c>
      <c r="BF10" s="29">
        <f t="shared" si="6"/>
        <v>180439.5</v>
      </c>
      <c r="BG10" s="29">
        <f t="shared" si="7"/>
        <v>138512.63999999998</v>
      </c>
      <c r="BH10" s="29">
        <v>184310</v>
      </c>
      <c r="BI10" s="29">
        <v>150164</v>
      </c>
      <c r="BJ10" s="29">
        <v>170230</v>
      </c>
      <c r="BK10" s="29">
        <v>135580</v>
      </c>
      <c r="BL10" s="29">
        <v>125522</v>
      </c>
      <c r="BM10" s="29">
        <v>105286.40000000001</v>
      </c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>
        <f t="shared" si="11"/>
        <v>480062</v>
      </c>
      <c r="CG10" s="29">
        <f t="shared" si="8"/>
        <v>391030.4</v>
      </c>
      <c r="CH10" s="29">
        <f t="shared" si="9"/>
        <v>192024.8</v>
      </c>
      <c r="CI10" s="29">
        <f t="shared" si="10"/>
        <v>156412.16</v>
      </c>
      <c r="CJ10" s="134">
        <f t="shared" si="3"/>
        <v>57.905384679772943</v>
      </c>
      <c r="CK10" s="135">
        <v>17</v>
      </c>
      <c r="CL10" s="159"/>
      <c r="CM10" s="159"/>
    </row>
    <row r="11" spans="1:92" ht="20.100000000000001" customHeight="1" x14ac:dyDescent="0.5">
      <c r="A11" s="34">
        <v>8</v>
      </c>
      <c r="B11" s="47" t="s">
        <v>31</v>
      </c>
      <c r="C11" s="28"/>
      <c r="D11" s="28">
        <f>'4-Phar Pon'!F8</f>
        <v>2800</v>
      </c>
      <c r="E11" s="28">
        <f>'4-Phar Pon'!G8</f>
        <v>1792.0000000000002</v>
      </c>
      <c r="F11" s="28">
        <f>'4-Phar Pon'!I8</f>
        <v>2800</v>
      </c>
      <c r="G11" s="28">
        <f>'4-Phar Pon'!J8</f>
        <v>1792.0000000000002</v>
      </c>
      <c r="H11" s="28">
        <f>'4-Phar Pon'!L8</f>
        <v>2800</v>
      </c>
      <c r="I11" s="28">
        <f>'4-Phar Pon'!M8</f>
        <v>1792.0000000000002</v>
      </c>
      <c r="J11" s="28">
        <f>'4-Phar Pon'!O8</f>
        <v>0</v>
      </c>
      <c r="K11" s="28">
        <f>'4-Phar Pon'!P8</f>
        <v>0</v>
      </c>
      <c r="L11" s="86">
        <f>'4-Phar Pon'!R8</f>
        <v>2800</v>
      </c>
      <c r="M11" s="28">
        <f>'4-Phar Pon'!S8</f>
        <v>1792</v>
      </c>
      <c r="N11" s="28">
        <f>'4-Phar Pon'!U8</f>
        <v>2800</v>
      </c>
      <c r="O11" s="28">
        <f>'4-Phar Pon'!V8</f>
        <v>1792</v>
      </c>
      <c r="P11" s="28">
        <f>'4-Phar Pon'!X8</f>
        <v>2800</v>
      </c>
      <c r="Q11" s="28">
        <f>'4-Phar Pon'!Y8</f>
        <v>1792</v>
      </c>
      <c r="R11" s="28">
        <f>'4-Phar Pon'!AA8</f>
        <v>2800</v>
      </c>
      <c r="S11" s="28">
        <f>'4-Phar Pon'!AB8</f>
        <v>1792</v>
      </c>
      <c r="T11" s="28">
        <f>'4-Phar Pon'!AD8</f>
        <v>2800</v>
      </c>
      <c r="U11" s="28">
        <f>'4-Phar Pon'!AE8</f>
        <v>1792</v>
      </c>
      <c r="V11" s="28">
        <f>'4-Phar Pon'!AG8</f>
        <v>2800</v>
      </c>
      <c r="W11" s="28">
        <f>'4-Phar Pon'!AH8</f>
        <v>1792</v>
      </c>
      <c r="X11" s="28">
        <f>'4-Phar Pon'!AJ8</f>
        <v>1400</v>
      </c>
      <c r="Y11" s="28">
        <f>'4-Phar Pon'!AK8</f>
        <v>896</v>
      </c>
      <c r="Z11" s="28">
        <f>'4-Phar Pon'!AM8</f>
        <v>0</v>
      </c>
      <c r="AA11" s="28">
        <f>'4-Phar Pon'!AN8</f>
        <v>0</v>
      </c>
      <c r="AB11" s="29">
        <f t="shared" si="0"/>
        <v>26600</v>
      </c>
      <c r="AC11" s="132">
        <f t="shared" si="1"/>
        <v>17024</v>
      </c>
      <c r="AD11" s="86">
        <f t="shared" si="4"/>
        <v>2216.6666666666665</v>
      </c>
      <c r="AE11" s="133">
        <f t="shared" si="5"/>
        <v>1418.6666666666667</v>
      </c>
      <c r="AF11" s="29">
        <v>560</v>
      </c>
      <c r="AG11" s="132">
        <v>358.40000000000003</v>
      </c>
      <c r="AH11" s="29"/>
      <c r="AI11" s="132"/>
      <c r="AJ11" s="29">
        <v>840</v>
      </c>
      <c r="AK11" s="132">
        <v>537.6</v>
      </c>
      <c r="AL11" s="29">
        <v>1680</v>
      </c>
      <c r="AM11" s="132">
        <v>1075.2</v>
      </c>
      <c r="AN11" s="29">
        <v>2800</v>
      </c>
      <c r="AO11" s="132">
        <v>1792.0000000000002</v>
      </c>
      <c r="AP11" s="29"/>
      <c r="AQ11" s="132"/>
      <c r="AR11" s="29">
        <v>2800</v>
      </c>
      <c r="AS11" s="132">
        <v>1792</v>
      </c>
      <c r="AT11" s="29">
        <v>2800</v>
      </c>
      <c r="AU11" s="132">
        <v>1792</v>
      </c>
      <c r="AV11" s="29"/>
      <c r="AW11" s="132"/>
      <c r="AX11" s="29">
        <v>2800</v>
      </c>
      <c r="AY11" s="132">
        <v>1792</v>
      </c>
      <c r="AZ11" s="28"/>
      <c r="BA11" s="136"/>
      <c r="BB11" s="29">
        <v>2800</v>
      </c>
      <c r="BC11" s="132">
        <v>1792</v>
      </c>
      <c r="BD11" s="29">
        <f t="shared" si="2"/>
        <v>17080</v>
      </c>
      <c r="BE11" s="132">
        <f t="shared" si="2"/>
        <v>10931.2</v>
      </c>
      <c r="BF11" s="29">
        <f t="shared" si="6"/>
        <v>1423.3333333333333</v>
      </c>
      <c r="BG11" s="29">
        <f t="shared" si="7"/>
        <v>910.93333333333339</v>
      </c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>
        <f t="shared" si="11"/>
        <v>0</v>
      </c>
      <c r="CG11" s="29">
        <f t="shared" si="8"/>
        <v>0</v>
      </c>
      <c r="CH11" s="29">
        <f t="shared" si="9"/>
        <v>0</v>
      </c>
      <c r="CI11" s="29">
        <f t="shared" si="10"/>
        <v>0</v>
      </c>
      <c r="CJ11" s="134">
        <f t="shared" si="3"/>
        <v>0.45676619694806375</v>
      </c>
      <c r="CK11" s="135">
        <v>19</v>
      </c>
      <c r="CL11" s="159"/>
      <c r="CM11" s="159"/>
    </row>
    <row r="12" spans="1:92" ht="20.100000000000001" customHeight="1" x14ac:dyDescent="0.5">
      <c r="A12" s="34">
        <v>9</v>
      </c>
      <c r="B12" s="47" t="s">
        <v>30</v>
      </c>
      <c r="C12" s="28"/>
      <c r="D12" s="28"/>
      <c r="E12" s="28"/>
      <c r="F12" s="28">
        <f>'4-Bagoda-3'!I8</f>
        <v>3800</v>
      </c>
      <c r="G12" s="28">
        <f>'4-Bagoda-3'!J8</f>
        <v>3296</v>
      </c>
      <c r="H12" s="28">
        <f>'4-Bagoda-3'!L8</f>
        <v>2400</v>
      </c>
      <c r="I12" s="28">
        <f>'4-Bagoda-3'!M8</f>
        <v>2400</v>
      </c>
      <c r="J12" s="28">
        <f>'4-Bagoda-3'!O8</f>
        <v>0</v>
      </c>
      <c r="K12" s="28">
        <f>'4-Bagoda-3'!P8</f>
        <v>0</v>
      </c>
      <c r="L12" s="86">
        <f>'4-Bagoda-3'!R8</f>
        <v>700</v>
      </c>
      <c r="M12" s="28">
        <f>'4-Bagoda-3'!S8</f>
        <v>448</v>
      </c>
      <c r="N12" s="28">
        <f>'4-Bagoda-3'!U8</f>
        <v>2600</v>
      </c>
      <c r="O12" s="28">
        <f>'4-Bagoda-3'!V8</f>
        <v>2096</v>
      </c>
      <c r="P12" s="28">
        <f>'4-Bagoda-3'!X8</f>
        <v>0</v>
      </c>
      <c r="Q12" s="28">
        <f>'4-Bagoda-3'!Y8</f>
        <v>0</v>
      </c>
      <c r="R12" s="28">
        <f>'4-Bagoda-3'!AA8</f>
        <v>0</v>
      </c>
      <c r="S12" s="28">
        <f>'4-Bagoda-3'!AB8</f>
        <v>0</v>
      </c>
      <c r="T12" s="28">
        <f>'4-Bagoda-3'!AD8</f>
        <v>0</v>
      </c>
      <c r="U12" s="28">
        <f>'4-Bagoda-3'!AE8</f>
        <v>0</v>
      </c>
      <c r="V12" s="28">
        <f>'4-Bagoda-3'!AG8</f>
        <v>0</v>
      </c>
      <c r="W12" s="28">
        <f>'4-Bagoda-3'!AH8</f>
        <v>0</v>
      </c>
      <c r="X12" s="28">
        <f>'4-Bagoda-3'!AJ8</f>
        <v>0</v>
      </c>
      <c r="Y12" s="28">
        <f>'4-Bagoda-3'!AK8</f>
        <v>0</v>
      </c>
      <c r="Z12" s="28">
        <f>'4-Bagoda-3'!AM8</f>
        <v>0</v>
      </c>
      <c r="AA12" s="28">
        <f>'4-Bagoda-3'!AN8</f>
        <v>0</v>
      </c>
      <c r="AB12" s="29">
        <f t="shared" si="0"/>
        <v>9500</v>
      </c>
      <c r="AC12" s="132">
        <f t="shared" si="1"/>
        <v>8240</v>
      </c>
      <c r="AD12" s="86">
        <f t="shared" si="4"/>
        <v>791.66666666666663</v>
      </c>
      <c r="AE12" s="133">
        <f t="shared" si="5"/>
        <v>686.66666666666663</v>
      </c>
      <c r="AF12" s="29">
        <v>2400</v>
      </c>
      <c r="AG12" s="132">
        <v>2400</v>
      </c>
      <c r="AH12" s="29">
        <v>140</v>
      </c>
      <c r="AI12" s="132">
        <v>89.600000000000009</v>
      </c>
      <c r="AJ12" s="29"/>
      <c r="AK12" s="132"/>
      <c r="AL12" s="29"/>
      <c r="AM12" s="132"/>
      <c r="AN12" s="29"/>
      <c r="AO12" s="132"/>
      <c r="AP12" s="29"/>
      <c r="AQ12" s="132"/>
      <c r="AR12" s="29">
        <v>2520</v>
      </c>
      <c r="AS12" s="132">
        <v>2520</v>
      </c>
      <c r="AT12" s="29"/>
      <c r="AU12" s="132"/>
      <c r="AV12" s="29"/>
      <c r="AW12" s="132"/>
      <c r="AX12" s="29"/>
      <c r="AY12" s="132"/>
      <c r="AZ12" s="28"/>
      <c r="BA12" s="136"/>
      <c r="BB12" s="28">
        <v>2400</v>
      </c>
      <c r="BC12" s="136">
        <v>2400</v>
      </c>
      <c r="BD12" s="29">
        <f t="shared" si="2"/>
        <v>7460</v>
      </c>
      <c r="BE12" s="132">
        <f t="shared" si="2"/>
        <v>7409.6</v>
      </c>
      <c r="BF12" s="29">
        <f t="shared" si="6"/>
        <v>621.66666666666663</v>
      </c>
      <c r="BG12" s="29">
        <f t="shared" si="7"/>
        <v>617.4666666666667</v>
      </c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>
        <f t="shared" si="11"/>
        <v>0</v>
      </c>
      <c r="CG12" s="29">
        <f t="shared" si="8"/>
        <v>0</v>
      </c>
      <c r="CH12" s="29">
        <f t="shared" si="9"/>
        <v>0</v>
      </c>
      <c r="CI12" s="29">
        <f t="shared" si="10"/>
        <v>0</v>
      </c>
      <c r="CJ12" s="134">
        <f t="shared" si="3"/>
        <v>0.19950092677005596</v>
      </c>
      <c r="CK12" s="135">
        <v>5</v>
      </c>
    </row>
    <row r="13" spans="1:92" ht="20.100000000000001" customHeight="1" x14ac:dyDescent="0.5">
      <c r="A13" s="34">
        <v>10</v>
      </c>
      <c r="B13" s="47" t="s">
        <v>28</v>
      </c>
      <c r="C13" s="30"/>
      <c r="D13" s="28">
        <f>'4-Chang Sone'!F11</f>
        <v>2870</v>
      </c>
      <c r="E13" s="28">
        <f>'4-Chang Sone'!G11</f>
        <v>1836.8</v>
      </c>
      <c r="F13" s="28">
        <f>'4-Chang Sone'!I11</f>
        <v>1596</v>
      </c>
      <c r="G13" s="28">
        <f>'4-Chang Sone'!J11</f>
        <v>1053.1200000000001</v>
      </c>
      <c r="H13" s="28">
        <f>'4-Chang Sone'!L11</f>
        <v>1492</v>
      </c>
      <c r="I13" s="28">
        <f>'4-Chang Sone'!M11</f>
        <v>962.08</v>
      </c>
      <c r="J13" s="28">
        <f>'4-Chang Sone'!O11</f>
        <v>2010</v>
      </c>
      <c r="K13" s="28">
        <f>'4-Chang Sone'!P11</f>
        <v>1293.5999999999999</v>
      </c>
      <c r="L13" s="86">
        <f>'4-Chang Sone'!R11</f>
        <v>4026</v>
      </c>
      <c r="M13" s="28">
        <f>'4-Chang Sone'!S11</f>
        <v>2984.16</v>
      </c>
      <c r="N13" s="28">
        <f>'4-Chang Sone'!U11</f>
        <v>2080</v>
      </c>
      <c r="O13" s="28">
        <f>'4-Chang Sone'!V11</f>
        <v>1338.4</v>
      </c>
      <c r="P13" s="28">
        <f>'4-Chang Sone'!X11</f>
        <v>3040</v>
      </c>
      <c r="Q13" s="28">
        <f>'4-Chang Sone'!Y11</f>
        <v>1960</v>
      </c>
      <c r="R13" s="28">
        <f>'4-Chang Sone'!AA11</f>
        <v>2240</v>
      </c>
      <c r="S13" s="28">
        <f>'4-Chang Sone'!AB11</f>
        <v>1433.6000000000001</v>
      </c>
      <c r="T13" s="28">
        <f>'4-Chang Sone'!AD11</f>
        <v>1870</v>
      </c>
      <c r="U13" s="28">
        <f>'4-Chang Sone'!AE11</f>
        <v>1204</v>
      </c>
      <c r="V13" s="28">
        <f>'4-Chang Sone'!AG11</f>
        <v>3420</v>
      </c>
      <c r="W13" s="28">
        <f>'4-Chang Sone'!AH11</f>
        <v>2192.4</v>
      </c>
      <c r="X13" s="28">
        <f>'4-Chang Sone'!AJ11</f>
        <v>4900</v>
      </c>
      <c r="Y13" s="28">
        <f>'4-Chang Sone'!AK11</f>
        <v>3136</v>
      </c>
      <c r="Z13" s="28">
        <f>'4-Chang Sone'!AM11</f>
        <v>2930</v>
      </c>
      <c r="AA13" s="28">
        <f>'4-Chang Sone'!AN11</f>
        <v>1878.8</v>
      </c>
      <c r="AB13" s="29">
        <f t="shared" si="0"/>
        <v>32474</v>
      </c>
      <c r="AC13" s="132">
        <f t="shared" si="1"/>
        <v>21272.959999999999</v>
      </c>
      <c r="AD13" s="86">
        <f t="shared" si="4"/>
        <v>2706.1666666666665</v>
      </c>
      <c r="AE13" s="133">
        <f t="shared" si="5"/>
        <v>1772.7466666666667</v>
      </c>
      <c r="AF13" s="29">
        <v>1590</v>
      </c>
      <c r="AG13" s="132">
        <v>1024.8000000000002</v>
      </c>
      <c r="AH13" s="29">
        <v>2486</v>
      </c>
      <c r="AI13" s="132">
        <v>1593.2000000000003</v>
      </c>
      <c r="AJ13" s="29">
        <v>2300</v>
      </c>
      <c r="AK13" s="132">
        <v>1475.6000000000001</v>
      </c>
      <c r="AL13" s="29">
        <v>700</v>
      </c>
      <c r="AM13" s="132">
        <v>448</v>
      </c>
      <c r="AN13" s="29">
        <v>2510</v>
      </c>
      <c r="AO13" s="132">
        <v>1610</v>
      </c>
      <c r="AP13" s="29">
        <v>2634</v>
      </c>
      <c r="AQ13" s="132">
        <v>1690.0800000000002</v>
      </c>
      <c r="AR13" s="29">
        <v>910</v>
      </c>
      <c r="AS13" s="132">
        <v>582.4</v>
      </c>
      <c r="AT13" s="29">
        <v>1936</v>
      </c>
      <c r="AU13" s="132">
        <v>1242.6400000000001</v>
      </c>
      <c r="AV13" s="29">
        <v>1860</v>
      </c>
      <c r="AW13" s="132">
        <v>1406.4</v>
      </c>
      <c r="AX13" s="29">
        <v>1310</v>
      </c>
      <c r="AY13" s="132">
        <v>845.6</v>
      </c>
      <c r="AZ13" s="28">
        <v>2240</v>
      </c>
      <c r="BA13" s="136">
        <v>1433.6</v>
      </c>
      <c r="BB13" s="28">
        <v>1400</v>
      </c>
      <c r="BC13" s="137">
        <v>896</v>
      </c>
      <c r="BD13" s="29">
        <f t="shared" si="2"/>
        <v>21876</v>
      </c>
      <c r="BE13" s="132">
        <f t="shared" si="2"/>
        <v>14248.32</v>
      </c>
      <c r="BF13" s="29">
        <f t="shared" si="6"/>
        <v>1823</v>
      </c>
      <c r="BG13" s="29">
        <f t="shared" si="7"/>
        <v>1187.3599999999999</v>
      </c>
      <c r="BH13" s="29">
        <v>840</v>
      </c>
      <c r="BI13" s="29">
        <v>537.6</v>
      </c>
      <c r="BJ13" s="29">
        <v>840</v>
      </c>
      <c r="BK13" s="29">
        <v>537.6</v>
      </c>
      <c r="BL13" s="29">
        <v>1762</v>
      </c>
      <c r="BM13" s="29">
        <v>1132</v>
      </c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>
        <f t="shared" si="11"/>
        <v>3442</v>
      </c>
      <c r="CG13" s="29">
        <f t="shared" si="8"/>
        <v>2207.1999999999998</v>
      </c>
      <c r="CH13" s="29">
        <f t="shared" si="9"/>
        <v>1376.8</v>
      </c>
      <c r="CI13" s="29">
        <f t="shared" si="10"/>
        <v>882.87999999999988</v>
      </c>
      <c r="CJ13" s="134">
        <f t="shared" si="3"/>
        <v>0.58502443351497913</v>
      </c>
      <c r="CK13" s="135">
        <v>3</v>
      </c>
      <c r="CL13" s="159"/>
      <c r="CM13" s="159"/>
    </row>
    <row r="14" spans="1:92" ht="20.100000000000001" customHeight="1" x14ac:dyDescent="0.5">
      <c r="A14" s="34">
        <v>11</v>
      </c>
      <c r="B14" s="47" t="s">
        <v>48</v>
      </c>
      <c r="C14" s="30"/>
      <c r="D14" s="28">
        <f>'4-Than Phyu Zayat'!F8</f>
        <v>0</v>
      </c>
      <c r="E14" s="28">
        <f>'4-Than Phyu Zayat'!G8</f>
        <v>0</v>
      </c>
      <c r="F14" s="28">
        <f>'4-Than Phyu Zayat'!I8</f>
        <v>0</v>
      </c>
      <c r="G14" s="28">
        <f>'4-Than Phyu Zayat'!J8</f>
        <v>0</v>
      </c>
      <c r="H14" s="28">
        <f>'4-Than Phyu Zayat'!L8</f>
        <v>0</v>
      </c>
      <c r="I14" s="28">
        <f>'4-Than Phyu Zayat'!M8</f>
        <v>0</v>
      </c>
      <c r="J14" s="28">
        <f>'4-Than Phyu Zayat'!O8</f>
        <v>0</v>
      </c>
      <c r="K14" s="28">
        <f>'4-Than Phyu Zayat'!P8</f>
        <v>0</v>
      </c>
      <c r="L14" s="28"/>
      <c r="M14" s="28"/>
      <c r="N14" s="28">
        <f>'4-Than Phyu Zayat'!U8</f>
        <v>0</v>
      </c>
      <c r="O14" s="28">
        <f>'4-Than Phyu Zayat'!V8</f>
        <v>0</v>
      </c>
      <c r="P14" s="28">
        <f>'4-Than Phyu Zayat'!X8</f>
        <v>0</v>
      </c>
      <c r="Q14" s="28">
        <f>'4-Than Phyu Zayat'!Y8</f>
        <v>0</v>
      </c>
      <c r="R14" s="28">
        <f>'4-Than Phyu Zayat'!AA8</f>
        <v>0</v>
      </c>
      <c r="S14" s="28">
        <f>'4-Than Phyu Zayat'!AB8</f>
        <v>0</v>
      </c>
      <c r="T14" s="28">
        <f>'4-Than Phyu Zayat'!AD8</f>
        <v>0</v>
      </c>
      <c r="U14" s="28">
        <f>'4-Than Phyu Zayat'!AE8</f>
        <v>0</v>
      </c>
      <c r="V14" s="28">
        <f>'4-Than Phyu Zayat'!AG8</f>
        <v>0</v>
      </c>
      <c r="W14" s="28">
        <f>'4-Than Phyu Zayat'!AH8</f>
        <v>0</v>
      </c>
      <c r="X14" s="28">
        <f>'4-Than Phyu Zayat'!AJ8</f>
        <v>0</v>
      </c>
      <c r="Y14" s="28">
        <f>'4-Than Phyu Zayat'!AK8</f>
        <v>0</v>
      </c>
      <c r="Z14" s="28">
        <f>'4-Than Phyu Zayat'!AM8</f>
        <v>432</v>
      </c>
      <c r="AA14" s="28">
        <f>'4-Than Phyu Zayat'!AN8</f>
        <v>277.2</v>
      </c>
      <c r="AB14" s="29">
        <f>SUM(D14+F14+H14+J14+L14+N14+P14+R14+T14+V14+X14+Z14)</f>
        <v>432</v>
      </c>
      <c r="AC14" s="132">
        <f>SUM(E14+G14+I14+K14+M14+O14+Q14+S14+U14+W14+Y14+AA14)</f>
        <v>277.2</v>
      </c>
      <c r="AD14" s="86">
        <f t="shared" si="4"/>
        <v>36</v>
      </c>
      <c r="AE14" s="133">
        <f t="shared" si="5"/>
        <v>23.099999999999998</v>
      </c>
      <c r="AF14" s="29">
        <v>700</v>
      </c>
      <c r="AG14" s="132">
        <v>448.00000000000006</v>
      </c>
      <c r="AH14" s="29">
        <v>980</v>
      </c>
      <c r="AI14" s="132">
        <v>627.20000000000005</v>
      </c>
      <c r="AJ14" s="29">
        <v>700</v>
      </c>
      <c r="AK14" s="132">
        <v>448</v>
      </c>
      <c r="AL14" s="29"/>
      <c r="AM14" s="132"/>
      <c r="AN14" s="29">
        <v>700</v>
      </c>
      <c r="AO14" s="132">
        <v>448</v>
      </c>
      <c r="AP14" s="29"/>
      <c r="AQ14" s="132"/>
      <c r="AR14" s="29">
        <v>714</v>
      </c>
      <c r="AS14" s="132">
        <v>462</v>
      </c>
      <c r="AT14" s="29">
        <v>700</v>
      </c>
      <c r="AU14" s="132">
        <v>448</v>
      </c>
      <c r="AV14" s="29">
        <v>420</v>
      </c>
      <c r="AW14" s="132">
        <v>268.8</v>
      </c>
      <c r="AX14" s="29">
        <v>700</v>
      </c>
      <c r="AY14" s="132">
        <v>448</v>
      </c>
      <c r="AZ14" s="28">
        <v>700</v>
      </c>
      <c r="BA14" s="136">
        <v>448</v>
      </c>
      <c r="BB14" s="28">
        <v>1540</v>
      </c>
      <c r="BC14" s="136">
        <v>985.6</v>
      </c>
      <c r="BD14" s="29">
        <f t="shared" si="2"/>
        <v>7854</v>
      </c>
      <c r="BE14" s="132">
        <f t="shared" si="2"/>
        <v>5031.6000000000004</v>
      </c>
      <c r="BF14" s="29">
        <f t="shared" si="6"/>
        <v>654.5</v>
      </c>
      <c r="BG14" s="29">
        <f t="shared" si="7"/>
        <v>419.3</v>
      </c>
      <c r="BH14" s="29"/>
      <c r="BI14" s="29"/>
      <c r="BJ14" s="29">
        <v>714</v>
      </c>
      <c r="BK14" s="29">
        <v>456.96</v>
      </c>
      <c r="BL14" s="29">
        <v>736</v>
      </c>
      <c r="BM14" s="29">
        <v>484</v>
      </c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>
        <f t="shared" si="11"/>
        <v>1450</v>
      </c>
      <c r="CG14" s="29">
        <f t="shared" si="8"/>
        <v>940.96</v>
      </c>
      <c r="CH14" s="29">
        <f t="shared" si="9"/>
        <v>580</v>
      </c>
      <c r="CI14" s="29">
        <f t="shared" si="10"/>
        <v>376.38400000000001</v>
      </c>
      <c r="CJ14" s="134">
        <f t="shared" si="3"/>
        <v>0.21003757089169162</v>
      </c>
      <c r="CK14" s="135">
        <v>18</v>
      </c>
    </row>
    <row r="15" spans="1:92" ht="23.1" customHeight="1" x14ac:dyDescent="0.25">
      <c r="A15" s="34">
        <v>12</v>
      </c>
      <c r="B15" s="178" t="s">
        <v>165</v>
      </c>
      <c r="C15" s="30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9">
        <f t="shared" si="0"/>
        <v>0</v>
      </c>
      <c r="AC15" s="132">
        <f t="shared" si="1"/>
        <v>0</v>
      </c>
      <c r="AD15" s="28"/>
      <c r="AE15" s="136"/>
      <c r="AF15" s="28"/>
      <c r="AG15" s="136"/>
      <c r="AH15" s="29"/>
      <c r="AI15" s="132"/>
      <c r="AJ15" s="29"/>
      <c r="AK15" s="132"/>
      <c r="AL15" s="28"/>
      <c r="AM15" s="136"/>
      <c r="AN15" s="28"/>
      <c r="AO15" s="136"/>
      <c r="AP15" s="28"/>
      <c r="AQ15" s="136"/>
      <c r="AR15" s="28"/>
      <c r="AS15" s="136"/>
      <c r="AT15" s="28"/>
      <c r="AU15" s="136"/>
      <c r="AV15" s="28"/>
      <c r="AW15" s="136"/>
      <c r="AX15" s="28"/>
      <c r="AY15" s="136"/>
      <c r="AZ15" s="28"/>
      <c r="BA15" s="136"/>
      <c r="BB15" s="28"/>
      <c r="BC15" s="136"/>
      <c r="BD15" s="28"/>
      <c r="BE15" s="136"/>
      <c r="BF15" s="29"/>
      <c r="BG15" s="29"/>
      <c r="BH15" s="29">
        <v>8822</v>
      </c>
      <c r="BI15" s="29">
        <v>6618.08</v>
      </c>
      <c r="BJ15" s="29">
        <v>11420</v>
      </c>
      <c r="BK15" s="29">
        <v>8972</v>
      </c>
      <c r="BL15" s="29">
        <v>10256</v>
      </c>
      <c r="BM15" s="29">
        <v>7989.44</v>
      </c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>
        <f t="shared" si="11"/>
        <v>30498</v>
      </c>
      <c r="CG15" s="29">
        <f t="shared" si="8"/>
        <v>23579.52</v>
      </c>
      <c r="CH15" s="29">
        <f t="shared" si="9"/>
        <v>12199.2</v>
      </c>
      <c r="CI15" s="29">
        <f t="shared" si="10"/>
        <v>9431.8080000000009</v>
      </c>
      <c r="CJ15" s="135"/>
      <c r="CK15" s="135"/>
    </row>
    <row r="16" spans="1:92" s="17" customFormat="1" ht="23.1" customHeight="1" x14ac:dyDescent="0.25">
      <c r="A16" s="24"/>
      <c r="B16" s="138" t="s">
        <v>47</v>
      </c>
      <c r="C16" s="138"/>
      <c r="D16" s="139">
        <f>SUM(D4:D14)</f>
        <v>284980</v>
      </c>
      <c r="E16" s="140">
        <f>SUM(E4:E14)</f>
        <v>200645.96</v>
      </c>
      <c r="F16" s="21">
        <f t="shared" ref="F16:AK16" si="12">SUM(F4:F15)</f>
        <v>250402</v>
      </c>
      <c r="G16" s="141">
        <f t="shared" si="12"/>
        <v>175347.76</v>
      </c>
      <c r="H16" s="139">
        <f t="shared" si="12"/>
        <v>306180</v>
      </c>
      <c r="I16" s="140">
        <f t="shared" si="12"/>
        <v>216101.84000000003</v>
      </c>
      <c r="J16" s="21">
        <f t="shared" si="12"/>
        <v>313206</v>
      </c>
      <c r="K16" s="141">
        <f t="shared" si="12"/>
        <v>220161.04</v>
      </c>
      <c r="L16" s="21">
        <f t="shared" si="12"/>
        <v>319523</v>
      </c>
      <c r="M16" s="141">
        <f t="shared" si="12"/>
        <v>221018.78</v>
      </c>
      <c r="N16" s="21">
        <f t="shared" si="12"/>
        <v>319420</v>
      </c>
      <c r="O16" s="141">
        <f t="shared" si="12"/>
        <v>227006.72</v>
      </c>
      <c r="P16" s="21">
        <f t="shared" si="12"/>
        <v>309212</v>
      </c>
      <c r="Q16" s="141">
        <f t="shared" si="12"/>
        <v>219811.20000000001</v>
      </c>
      <c r="R16" s="21">
        <f t="shared" si="12"/>
        <v>358266</v>
      </c>
      <c r="S16" s="141">
        <f t="shared" si="12"/>
        <v>257544.8</v>
      </c>
      <c r="T16" s="21">
        <f t="shared" si="12"/>
        <v>289469</v>
      </c>
      <c r="U16" s="141">
        <f t="shared" si="12"/>
        <v>211684.06</v>
      </c>
      <c r="V16" s="21">
        <f t="shared" si="12"/>
        <v>334424</v>
      </c>
      <c r="W16" s="141">
        <f t="shared" si="12"/>
        <v>242242.68000000002</v>
      </c>
      <c r="X16" s="21">
        <f t="shared" si="12"/>
        <v>251296</v>
      </c>
      <c r="Y16" s="141">
        <f t="shared" si="12"/>
        <v>181264.84</v>
      </c>
      <c r="Z16" s="21">
        <f t="shared" si="12"/>
        <v>298525</v>
      </c>
      <c r="AA16" s="141">
        <f t="shared" si="12"/>
        <v>220445.46000000002</v>
      </c>
      <c r="AB16" s="21">
        <f>SUM(AB4:AB15)</f>
        <v>3634903</v>
      </c>
      <c r="AC16" s="141">
        <f t="shared" si="12"/>
        <v>2593275.1400000006</v>
      </c>
      <c r="AD16" s="21">
        <f>SUM(AD4:AD15)</f>
        <v>302908.58333333343</v>
      </c>
      <c r="AE16" s="141">
        <f t="shared" si="12"/>
        <v>216106.26166666666</v>
      </c>
      <c r="AF16" s="21">
        <f t="shared" si="12"/>
        <v>292067</v>
      </c>
      <c r="AG16" s="141">
        <f t="shared" si="12"/>
        <v>217035.25999999998</v>
      </c>
      <c r="AH16" s="139">
        <f t="shared" si="12"/>
        <v>293594</v>
      </c>
      <c r="AI16" s="140">
        <f t="shared" si="12"/>
        <v>215869.64000000004</v>
      </c>
      <c r="AJ16" s="21">
        <f t="shared" si="12"/>
        <v>365124</v>
      </c>
      <c r="AK16" s="141">
        <f t="shared" si="12"/>
        <v>263664.64000000001</v>
      </c>
      <c r="AL16" s="21">
        <f t="shared" ref="AL16:BC16" si="13">SUM(AL4:AL15)</f>
        <v>250122</v>
      </c>
      <c r="AM16" s="141">
        <f t="shared" si="13"/>
        <v>175295.28000000003</v>
      </c>
      <c r="AN16" s="21">
        <f t="shared" si="13"/>
        <v>366424</v>
      </c>
      <c r="AO16" s="141">
        <f t="shared" si="13"/>
        <v>272334.95999999996</v>
      </c>
      <c r="AP16" s="21">
        <f t="shared" si="13"/>
        <v>342708</v>
      </c>
      <c r="AQ16" s="141">
        <f t="shared" si="13"/>
        <v>256131.20000000004</v>
      </c>
      <c r="AR16" s="21">
        <f t="shared" si="13"/>
        <v>319332</v>
      </c>
      <c r="AS16" s="141">
        <f t="shared" si="13"/>
        <v>237110.31999999998</v>
      </c>
      <c r="AT16" s="21">
        <f>SUM(AT4:AT15)</f>
        <v>306217</v>
      </c>
      <c r="AU16" s="141">
        <f>SUM(AU4:AU15)</f>
        <v>234523.10999999996</v>
      </c>
      <c r="AV16" s="21">
        <f>SUM(AV4:AV15)</f>
        <v>310551</v>
      </c>
      <c r="AW16" s="141">
        <f>SUM(AW4:AW15)</f>
        <v>237489.62999999998</v>
      </c>
      <c r="AX16" s="21">
        <f t="shared" si="13"/>
        <v>302387</v>
      </c>
      <c r="AY16" s="141">
        <f t="shared" si="13"/>
        <v>227076.46</v>
      </c>
      <c r="AZ16" s="21">
        <f>SUM(AZ4:AZ15)</f>
        <v>282632</v>
      </c>
      <c r="BA16" s="141">
        <f t="shared" si="13"/>
        <v>215962.81999999998</v>
      </c>
      <c r="BB16" s="21">
        <f>SUM(BB4:BB15)</f>
        <v>308173</v>
      </c>
      <c r="BC16" s="141">
        <f t="shared" si="13"/>
        <v>239119.67</v>
      </c>
      <c r="BD16" s="21">
        <f>SUM(BD4:BD15)</f>
        <v>3739331</v>
      </c>
      <c r="BE16" s="141">
        <f>SUM(BE4:BE15)</f>
        <v>2791612.9899999998</v>
      </c>
      <c r="BF16" s="21">
        <f>SUM(BF4:BF15)</f>
        <v>311610.91666666663</v>
      </c>
      <c r="BG16" s="21">
        <f>SUM(BG4:BG15)</f>
        <v>232634.4158333333</v>
      </c>
      <c r="BH16" s="21">
        <f>SUM(BH4:BH15)</f>
        <v>299175</v>
      </c>
      <c r="BI16" s="21">
        <f t="shared" ref="BI16:CI16" si="14">SUM(BI4:BI15)</f>
        <v>233525.94999999998</v>
      </c>
      <c r="BJ16" s="21">
        <f t="shared" si="14"/>
        <v>285899</v>
      </c>
      <c r="BK16" s="21">
        <f t="shared" si="14"/>
        <v>221678.61</v>
      </c>
      <c r="BL16" s="21">
        <f>SUM(BL4:BL15)</f>
        <v>197845</v>
      </c>
      <c r="BM16" s="21">
        <f t="shared" si="14"/>
        <v>157569.16999999998</v>
      </c>
      <c r="BN16" s="21">
        <f t="shared" si="14"/>
        <v>0</v>
      </c>
      <c r="BO16" s="21">
        <f t="shared" si="14"/>
        <v>0</v>
      </c>
      <c r="BP16" s="21">
        <f t="shared" si="14"/>
        <v>0</v>
      </c>
      <c r="BQ16" s="21">
        <f t="shared" si="14"/>
        <v>0</v>
      </c>
      <c r="BR16" s="21">
        <f t="shared" si="14"/>
        <v>0</v>
      </c>
      <c r="BS16" s="21">
        <f t="shared" si="14"/>
        <v>0</v>
      </c>
      <c r="BT16" s="21">
        <f t="shared" si="14"/>
        <v>0</v>
      </c>
      <c r="BU16" s="21">
        <f t="shared" si="14"/>
        <v>0</v>
      </c>
      <c r="BV16" s="21">
        <f t="shared" si="14"/>
        <v>0</v>
      </c>
      <c r="BW16" s="21">
        <f t="shared" si="14"/>
        <v>0</v>
      </c>
      <c r="BX16" s="21">
        <f t="shared" si="14"/>
        <v>0</v>
      </c>
      <c r="BY16" s="21">
        <f t="shared" si="14"/>
        <v>0</v>
      </c>
      <c r="BZ16" s="21">
        <f t="shared" si="14"/>
        <v>0</v>
      </c>
      <c r="CA16" s="21">
        <f t="shared" si="14"/>
        <v>0</v>
      </c>
      <c r="CB16" s="21">
        <f t="shared" si="14"/>
        <v>0</v>
      </c>
      <c r="CC16" s="21">
        <f t="shared" si="14"/>
        <v>0</v>
      </c>
      <c r="CD16" s="21">
        <f t="shared" si="14"/>
        <v>0</v>
      </c>
      <c r="CE16" s="21">
        <f t="shared" si="14"/>
        <v>0</v>
      </c>
      <c r="CF16" s="21">
        <f t="shared" si="14"/>
        <v>782919</v>
      </c>
      <c r="CG16" s="21">
        <f t="shared" si="14"/>
        <v>612773.72999999986</v>
      </c>
      <c r="CH16" s="21">
        <f t="shared" si="14"/>
        <v>313167.59999999998</v>
      </c>
      <c r="CI16" s="21">
        <f t="shared" si="14"/>
        <v>245109.49199999997</v>
      </c>
      <c r="CJ16" s="142" t="s">
        <v>23</v>
      </c>
      <c r="CK16" s="142"/>
    </row>
    <row r="17" spans="1:89" ht="23.1" customHeight="1" thickBot="1" x14ac:dyDescent="0.3"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159"/>
      <c r="BQ17" s="159"/>
      <c r="BR17" s="159"/>
      <c r="BS17" s="159"/>
      <c r="BT17" s="159"/>
      <c r="BU17" s="159"/>
      <c r="BV17" s="159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59"/>
      <c r="CH17" s="159"/>
      <c r="CI17" s="159"/>
      <c r="CJ17" s="159">
        <f t="shared" ref="CJ17:CK17" si="15">292067-CJ16</f>
        <v>292066</v>
      </c>
      <c r="CK17" s="159">
        <f t="shared" si="15"/>
        <v>292067</v>
      </c>
    </row>
    <row r="18" spans="1:89" s="126" customFormat="1" ht="23.1" customHeight="1" x14ac:dyDescent="0.25">
      <c r="A18" s="186" t="s">
        <v>46</v>
      </c>
      <c r="B18" s="186" t="s">
        <v>45</v>
      </c>
      <c r="C18" s="188" t="s">
        <v>44</v>
      </c>
      <c r="D18" s="183">
        <v>45292</v>
      </c>
      <c r="E18" s="184"/>
      <c r="F18" s="183">
        <v>45323</v>
      </c>
      <c r="G18" s="184"/>
      <c r="H18" s="183">
        <v>45352</v>
      </c>
      <c r="I18" s="184"/>
      <c r="J18" s="183">
        <v>45383</v>
      </c>
      <c r="K18" s="184"/>
      <c r="L18" s="183">
        <v>45413</v>
      </c>
      <c r="M18" s="184"/>
      <c r="N18" s="183">
        <v>45444</v>
      </c>
      <c r="O18" s="184"/>
      <c r="P18" s="183">
        <v>45474</v>
      </c>
      <c r="Q18" s="184"/>
      <c r="R18" s="183">
        <v>45505</v>
      </c>
      <c r="S18" s="184"/>
      <c r="T18" s="183">
        <v>45536</v>
      </c>
      <c r="U18" s="184"/>
      <c r="V18" s="183">
        <v>45566</v>
      </c>
      <c r="W18" s="184"/>
      <c r="X18" s="183">
        <v>45597</v>
      </c>
      <c r="Y18" s="184"/>
      <c r="Z18" s="183">
        <v>45627</v>
      </c>
      <c r="AA18" s="184"/>
      <c r="AB18" s="181" t="s">
        <v>125</v>
      </c>
      <c r="AC18" s="182"/>
      <c r="AD18" s="189" t="s">
        <v>124</v>
      </c>
      <c r="AE18" s="190"/>
      <c r="AF18" s="183">
        <v>45658</v>
      </c>
      <c r="AG18" s="184"/>
      <c r="AH18" s="183">
        <v>45689</v>
      </c>
      <c r="AI18" s="184"/>
      <c r="AJ18" s="183">
        <v>45717</v>
      </c>
      <c r="AK18" s="184"/>
      <c r="AL18" s="183">
        <v>45748</v>
      </c>
      <c r="AM18" s="184"/>
      <c r="AN18" s="183">
        <v>45778</v>
      </c>
      <c r="AO18" s="184"/>
      <c r="AP18" s="183">
        <v>45809</v>
      </c>
      <c r="AQ18" s="184"/>
      <c r="AR18" s="183">
        <v>45839</v>
      </c>
      <c r="AS18" s="184"/>
      <c r="AT18" s="183">
        <v>45870</v>
      </c>
      <c r="AU18" s="184"/>
      <c r="AV18" s="183">
        <v>45901</v>
      </c>
      <c r="AW18" s="184"/>
      <c r="AX18" s="183">
        <v>45931</v>
      </c>
      <c r="AY18" s="184"/>
      <c r="AZ18" s="183">
        <v>45962</v>
      </c>
      <c r="BA18" s="184"/>
      <c r="BB18" s="183">
        <v>45992</v>
      </c>
      <c r="BC18" s="184"/>
      <c r="BD18" s="181" t="s">
        <v>123</v>
      </c>
      <c r="BE18" s="182"/>
      <c r="BF18" s="189" t="s">
        <v>166</v>
      </c>
      <c r="BG18" s="190"/>
      <c r="BH18" s="183">
        <v>46023</v>
      </c>
      <c r="BI18" s="184"/>
      <c r="BJ18" s="183">
        <v>46054</v>
      </c>
      <c r="BK18" s="184"/>
      <c r="BL18" s="183">
        <v>46082</v>
      </c>
      <c r="BM18" s="184"/>
      <c r="BN18" s="183">
        <v>46113</v>
      </c>
      <c r="BO18" s="184"/>
      <c r="BP18" s="183">
        <v>46143</v>
      </c>
      <c r="BQ18" s="184"/>
      <c r="BR18" s="183">
        <v>46174</v>
      </c>
      <c r="BS18" s="184"/>
      <c r="BT18" s="183">
        <v>46204</v>
      </c>
      <c r="BU18" s="184"/>
      <c r="BV18" s="183">
        <v>46235</v>
      </c>
      <c r="BW18" s="184"/>
      <c r="BX18" s="183">
        <v>46266</v>
      </c>
      <c r="BY18" s="184"/>
      <c r="BZ18" s="183">
        <v>46296</v>
      </c>
      <c r="CA18" s="184"/>
      <c r="CB18" s="183">
        <v>46327</v>
      </c>
      <c r="CC18" s="184"/>
      <c r="CD18" s="183">
        <v>46357</v>
      </c>
      <c r="CE18" s="184"/>
      <c r="CF18" s="181" t="s">
        <v>153</v>
      </c>
      <c r="CG18" s="182"/>
      <c r="CH18" s="191" t="s">
        <v>42</v>
      </c>
      <c r="CI18" s="192"/>
      <c r="CJ18" s="193" t="s">
        <v>122</v>
      </c>
      <c r="CK18" s="193" t="s">
        <v>43</v>
      </c>
    </row>
    <row r="19" spans="1:89" s="126" customFormat="1" ht="20.45" customHeight="1" x14ac:dyDescent="0.25">
      <c r="A19" s="187"/>
      <c r="B19" s="187"/>
      <c r="C19" s="188"/>
      <c r="D19" s="129" t="s">
        <v>121</v>
      </c>
      <c r="E19" s="130" t="s">
        <v>93</v>
      </c>
      <c r="F19" s="129" t="s">
        <v>121</v>
      </c>
      <c r="G19" s="130" t="s">
        <v>93</v>
      </c>
      <c r="H19" s="129" t="s">
        <v>121</v>
      </c>
      <c r="I19" s="130" t="s">
        <v>93</v>
      </c>
      <c r="J19" s="129" t="s">
        <v>121</v>
      </c>
      <c r="K19" s="130" t="s">
        <v>93</v>
      </c>
      <c r="L19" s="129" t="s">
        <v>121</v>
      </c>
      <c r="M19" s="130" t="s">
        <v>93</v>
      </c>
      <c r="N19" s="129" t="s">
        <v>121</v>
      </c>
      <c r="O19" s="130" t="s">
        <v>93</v>
      </c>
      <c r="P19" s="129" t="s">
        <v>121</v>
      </c>
      <c r="Q19" s="130" t="s">
        <v>93</v>
      </c>
      <c r="R19" s="129" t="s">
        <v>121</v>
      </c>
      <c r="S19" s="130" t="s">
        <v>93</v>
      </c>
      <c r="T19" s="129" t="s">
        <v>121</v>
      </c>
      <c r="U19" s="130" t="s">
        <v>93</v>
      </c>
      <c r="V19" s="129" t="s">
        <v>121</v>
      </c>
      <c r="W19" s="130" t="s">
        <v>93</v>
      </c>
      <c r="X19" s="129" t="s">
        <v>121</v>
      </c>
      <c r="Y19" s="130" t="s">
        <v>93</v>
      </c>
      <c r="Z19" s="129" t="s">
        <v>121</v>
      </c>
      <c r="AA19" s="130" t="s">
        <v>93</v>
      </c>
      <c r="AB19" s="129" t="s">
        <v>121</v>
      </c>
      <c r="AC19" s="130" t="s">
        <v>93</v>
      </c>
      <c r="AD19" s="127" t="s">
        <v>121</v>
      </c>
      <c r="AE19" s="131" t="s">
        <v>93</v>
      </c>
      <c r="AF19" s="129" t="s">
        <v>121</v>
      </c>
      <c r="AG19" s="130" t="s">
        <v>93</v>
      </c>
      <c r="AH19" s="129" t="s">
        <v>121</v>
      </c>
      <c r="AI19" s="130" t="s">
        <v>93</v>
      </c>
      <c r="AJ19" s="129" t="s">
        <v>121</v>
      </c>
      <c r="AK19" s="130" t="s">
        <v>93</v>
      </c>
      <c r="AL19" s="129" t="s">
        <v>121</v>
      </c>
      <c r="AM19" s="130" t="s">
        <v>93</v>
      </c>
      <c r="AN19" s="129" t="s">
        <v>121</v>
      </c>
      <c r="AO19" s="130" t="s">
        <v>93</v>
      </c>
      <c r="AP19" s="129" t="s">
        <v>121</v>
      </c>
      <c r="AQ19" s="130" t="s">
        <v>93</v>
      </c>
      <c r="AR19" s="129" t="s">
        <v>121</v>
      </c>
      <c r="AS19" s="130" t="s">
        <v>93</v>
      </c>
      <c r="AT19" s="129" t="s">
        <v>121</v>
      </c>
      <c r="AU19" s="130" t="s">
        <v>93</v>
      </c>
      <c r="AV19" s="129" t="s">
        <v>121</v>
      </c>
      <c r="AW19" s="130" t="s">
        <v>93</v>
      </c>
      <c r="AX19" s="129" t="s">
        <v>121</v>
      </c>
      <c r="AY19" s="130" t="s">
        <v>93</v>
      </c>
      <c r="AZ19" s="129" t="s">
        <v>121</v>
      </c>
      <c r="BA19" s="130" t="s">
        <v>93</v>
      </c>
      <c r="BB19" s="129" t="s">
        <v>121</v>
      </c>
      <c r="BC19" s="130" t="s">
        <v>93</v>
      </c>
      <c r="BD19" s="129" t="s">
        <v>121</v>
      </c>
      <c r="BE19" s="130" t="s">
        <v>93</v>
      </c>
      <c r="BF19" s="128"/>
      <c r="BG19" s="128"/>
      <c r="BH19" s="129" t="s">
        <v>121</v>
      </c>
      <c r="BI19" s="130" t="s">
        <v>93</v>
      </c>
      <c r="BJ19" s="129" t="s">
        <v>121</v>
      </c>
      <c r="BK19" s="130" t="s">
        <v>93</v>
      </c>
      <c r="BL19" s="129" t="s">
        <v>121</v>
      </c>
      <c r="BM19" s="130" t="s">
        <v>93</v>
      </c>
      <c r="BN19" s="129" t="s">
        <v>121</v>
      </c>
      <c r="BO19" s="130" t="s">
        <v>93</v>
      </c>
      <c r="BP19" s="129" t="s">
        <v>121</v>
      </c>
      <c r="BQ19" s="130" t="s">
        <v>93</v>
      </c>
      <c r="BR19" s="129" t="s">
        <v>121</v>
      </c>
      <c r="BS19" s="130" t="s">
        <v>93</v>
      </c>
      <c r="BT19" s="129" t="s">
        <v>121</v>
      </c>
      <c r="BU19" s="130" t="s">
        <v>93</v>
      </c>
      <c r="BV19" s="129" t="s">
        <v>121</v>
      </c>
      <c r="BW19" s="130" t="s">
        <v>93</v>
      </c>
      <c r="BX19" s="129" t="s">
        <v>121</v>
      </c>
      <c r="BY19" s="130" t="s">
        <v>93</v>
      </c>
      <c r="BZ19" s="129" t="s">
        <v>121</v>
      </c>
      <c r="CA19" s="130" t="s">
        <v>93</v>
      </c>
      <c r="CB19" s="129" t="s">
        <v>121</v>
      </c>
      <c r="CC19" s="130" t="s">
        <v>93</v>
      </c>
      <c r="CD19" s="129" t="s">
        <v>121</v>
      </c>
      <c r="CE19" s="130" t="s">
        <v>93</v>
      </c>
      <c r="CF19" s="129" t="s">
        <v>121</v>
      </c>
      <c r="CG19" s="130" t="s">
        <v>93</v>
      </c>
      <c r="CH19" s="128" t="s">
        <v>121</v>
      </c>
      <c r="CI19" s="128" t="s">
        <v>93</v>
      </c>
      <c r="CJ19" s="194"/>
      <c r="CK19" s="194"/>
    </row>
    <row r="20" spans="1:89" s="35" customFormat="1" ht="20.100000000000001" customHeight="1" x14ac:dyDescent="0.25">
      <c r="A20" s="34">
        <v>1</v>
      </c>
      <c r="B20" s="29" t="s">
        <v>41</v>
      </c>
      <c r="C20" s="34" t="s">
        <v>40</v>
      </c>
      <c r="D20" s="29">
        <v>1470</v>
      </c>
      <c r="E20" s="132">
        <v>940.80000000000007</v>
      </c>
      <c r="F20" s="29">
        <v>348</v>
      </c>
      <c r="G20" s="132">
        <v>348</v>
      </c>
      <c r="H20" s="29">
        <v>1980</v>
      </c>
      <c r="I20" s="132">
        <v>1980</v>
      </c>
      <c r="J20" s="29">
        <v>2800</v>
      </c>
      <c r="K20" s="132">
        <v>1792</v>
      </c>
      <c r="L20" s="29">
        <v>1540</v>
      </c>
      <c r="M20" s="132">
        <v>985.6</v>
      </c>
      <c r="N20" s="29">
        <v>1534</v>
      </c>
      <c r="O20" s="132">
        <v>1202.8000000000002</v>
      </c>
      <c r="P20" s="29">
        <v>1750</v>
      </c>
      <c r="Q20" s="132">
        <v>1120</v>
      </c>
      <c r="R20" s="29"/>
      <c r="S20" s="29"/>
      <c r="T20" s="29">
        <v>2870</v>
      </c>
      <c r="U20" s="132">
        <v>1836.8</v>
      </c>
      <c r="V20" s="29">
        <v>8220</v>
      </c>
      <c r="W20" s="132">
        <v>6708</v>
      </c>
      <c r="X20" s="29">
        <v>3114</v>
      </c>
      <c r="Y20" s="132">
        <v>2286</v>
      </c>
      <c r="Z20" s="29">
        <v>5007</v>
      </c>
      <c r="AA20" s="132">
        <v>3927</v>
      </c>
      <c r="AB20" s="29">
        <f t="shared" ref="AB20:AB31" si="16">SUM(D20+F20+H20+J20+L20+N20+P20+R20+T20+V20+X20+Z20)</f>
        <v>30633</v>
      </c>
      <c r="AC20" s="132">
        <f t="shared" ref="AC20:AC31" si="17">SUM(E20+G20+I20+K20+M20+O20+Q20+S20+U20+W20+Y20+AA20)</f>
        <v>23127</v>
      </c>
      <c r="AD20" s="29">
        <f>AB20/12</f>
        <v>2552.75</v>
      </c>
      <c r="AE20" s="132">
        <f>AC20/12</f>
        <v>1927.25</v>
      </c>
      <c r="AF20" s="29">
        <v>893</v>
      </c>
      <c r="AG20" s="132">
        <v>789.98</v>
      </c>
      <c r="AH20" s="29">
        <v>1802</v>
      </c>
      <c r="AI20" s="132">
        <v>1587.8</v>
      </c>
      <c r="AJ20" s="29">
        <v>3310</v>
      </c>
      <c r="AK20" s="132">
        <v>2541.04</v>
      </c>
      <c r="AL20" s="29">
        <v>2214</v>
      </c>
      <c r="AM20" s="132">
        <v>1874.88</v>
      </c>
      <c r="AN20" s="29">
        <v>3798</v>
      </c>
      <c r="AO20" s="132">
        <v>3156.48</v>
      </c>
      <c r="AP20" s="29">
        <v>3578</v>
      </c>
      <c r="AQ20" s="132">
        <v>2731.28</v>
      </c>
      <c r="AR20" s="29">
        <v>2584</v>
      </c>
      <c r="AS20" s="132">
        <v>2306.8000000000002</v>
      </c>
      <c r="AT20" s="29">
        <v>3316</v>
      </c>
      <c r="AU20" s="132">
        <v>2796.67</v>
      </c>
      <c r="AV20" s="29">
        <v>2721</v>
      </c>
      <c r="AW20" s="132">
        <v>2265.9499999999998</v>
      </c>
      <c r="AX20" s="29">
        <v>3833</v>
      </c>
      <c r="AY20" s="132">
        <v>3158.46</v>
      </c>
      <c r="AZ20" s="29">
        <v>3152</v>
      </c>
      <c r="BA20" s="132">
        <v>2772.98</v>
      </c>
      <c r="BB20" s="29">
        <v>5759</v>
      </c>
      <c r="BC20" s="132">
        <v>4849.4299999999994</v>
      </c>
      <c r="BD20" s="29">
        <f t="shared" ref="BD20:BD30" si="18">+AF20+AH20+AJ20+AL20+AN20+AP20+AR20+AT20+AV20+AX20+AZ20+BB20</f>
        <v>36960</v>
      </c>
      <c r="BE20" s="132">
        <f t="shared" ref="BE20:BE30" si="19">+AG20+AI20+AK20+AM20+AO20+AQ20+AS20+AU20+AW20+AY20+BA20+BC20</f>
        <v>30831.75</v>
      </c>
      <c r="BF20" s="29">
        <f>BD20/12</f>
        <v>3080</v>
      </c>
      <c r="BG20" s="29">
        <f>BE20/12</f>
        <v>2569.3125</v>
      </c>
      <c r="BH20" s="29">
        <v>8355</v>
      </c>
      <c r="BI20" s="29">
        <v>6655.7900000000018</v>
      </c>
      <c r="BJ20" s="29">
        <v>8479</v>
      </c>
      <c r="BK20" s="29">
        <v>7355.8900000000031</v>
      </c>
      <c r="BL20" s="29">
        <v>6513</v>
      </c>
      <c r="BM20" s="29">
        <v>5368.4500000000016</v>
      </c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>
        <f>BH20+BJ20+BL20+BN20+BP20+BR20+BT20+BV20+BX20+BZ20+CB20+CD20</f>
        <v>23347</v>
      </c>
      <c r="CG20" s="29">
        <f>BI20+BK20+BM20+BO20+BQ20+BS20+BU20+BW20+BY20+CA20+CC20+CE4</f>
        <v>19380.130000000005</v>
      </c>
      <c r="CH20" s="29">
        <f>CF20/2.5</f>
        <v>9338.7999999999993</v>
      </c>
      <c r="CI20" s="29">
        <f>CG20/2.5</f>
        <v>7752.0520000000015</v>
      </c>
      <c r="CJ20" s="134">
        <f t="shared" ref="CJ20:CJ30" si="20">IFERROR(BF20/$BF$32%,0)</f>
        <v>32.774092859929773</v>
      </c>
      <c r="CK20" s="135">
        <v>8</v>
      </c>
    </row>
    <row r="21" spans="1:89" s="35" customFormat="1" ht="20.100000000000001" customHeight="1" x14ac:dyDescent="0.25">
      <c r="A21" s="34">
        <v>2</v>
      </c>
      <c r="B21" s="29" t="s">
        <v>39</v>
      </c>
      <c r="C21" s="34" t="s">
        <v>37</v>
      </c>
      <c r="D21" s="29"/>
      <c r="E21" s="132"/>
      <c r="F21" s="29">
        <v>36</v>
      </c>
      <c r="G21" s="132">
        <v>25.2</v>
      </c>
      <c r="H21" s="29">
        <v>200</v>
      </c>
      <c r="I21" s="132">
        <v>70</v>
      </c>
      <c r="J21" s="29">
        <v>720</v>
      </c>
      <c r="K21" s="132">
        <v>504</v>
      </c>
      <c r="L21" s="29"/>
      <c r="M21" s="132"/>
      <c r="N21" s="29">
        <v>700</v>
      </c>
      <c r="O21" s="132">
        <v>448</v>
      </c>
      <c r="P21" s="29"/>
      <c r="Q21" s="132"/>
      <c r="R21" s="29"/>
      <c r="S21" s="29"/>
      <c r="T21" s="29">
        <v>200</v>
      </c>
      <c r="U21" s="132">
        <v>70</v>
      </c>
      <c r="V21" s="29"/>
      <c r="W21" s="132"/>
      <c r="X21" s="29">
        <v>280</v>
      </c>
      <c r="Y21" s="132">
        <v>179.20000000000002</v>
      </c>
      <c r="Z21" s="29">
        <v>420</v>
      </c>
      <c r="AA21" s="132">
        <v>268.8</v>
      </c>
      <c r="AB21" s="29">
        <f t="shared" si="16"/>
        <v>2556</v>
      </c>
      <c r="AC21" s="132">
        <f t="shared" si="17"/>
        <v>1565.2</v>
      </c>
      <c r="AD21" s="29">
        <f t="shared" ref="AD21:AD30" si="21">AB21/12</f>
        <v>213</v>
      </c>
      <c r="AE21" s="132">
        <f t="shared" ref="AE21:AE30" si="22">AC21/12</f>
        <v>130.43333333333334</v>
      </c>
      <c r="AF21" s="29"/>
      <c r="AG21" s="132"/>
      <c r="AH21" s="29">
        <v>120</v>
      </c>
      <c r="AI21" s="132">
        <v>120</v>
      </c>
      <c r="AJ21" s="29">
        <v>1940</v>
      </c>
      <c r="AK21" s="132">
        <v>1587.2</v>
      </c>
      <c r="AL21" s="29">
        <v>720</v>
      </c>
      <c r="AM21" s="132">
        <v>504</v>
      </c>
      <c r="AN21" s="29"/>
      <c r="AO21" s="132"/>
      <c r="AP21" s="29">
        <v>1200</v>
      </c>
      <c r="AQ21" s="132">
        <v>1200</v>
      </c>
      <c r="AR21" s="29"/>
      <c r="AS21" s="132"/>
      <c r="AT21" s="29">
        <v>360</v>
      </c>
      <c r="AU21" s="132">
        <v>584</v>
      </c>
      <c r="AV21" s="29"/>
      <c r="AW21" s="132"/>
      <c r="AX21" s="29"/>
      <c r="AY21" s="132"/>
      <c r="AZ21" s="29">
        <v>780</v>
      </c>
      <c r="BA21" s="132">
        <v>628.79999999999995</v>
      </c>
      <c r="BB21" s="29"/>
      <c r="BC21" s="132"/>
      <c r="BD21" s="29">
        <f t="shared" si="18"/>
        <v>5120</v>
      </c>
      <c r="BE21" s="132">
        <f t="shared" si="19"/>
        <v>4624</v>
      </c>
      <c r="BF21" s="29">
        <f>BD21/12</f>
        <v>426.66666666666669</v>
      </c>
      <c r="BG21" s="29">
        <f t="shared" ref="BG21:BG30" si="23">BE21/12</f>
        <v>385.33333333333331</v>
      </c>
      <c r="BH21" s="29">
        <v>2520</v>
      </c>
      <c r="BI21" s="29">
        <v>2520</v>
      </c>
      <c r="BJ21" s="29">
        <v>1040</v>
      </c>
      <c r="BK21" s="29">
        <v>910</v>
      </c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>
        <f t="shared" ref="CF21:CF31" si="24">BH21+BJ21+BL21+BN21+BP21+BR21+BT21+BV21+BX21+BZ21+CB21+CD21</f>
        <v>3560</v>
      </c>
      <c r="CG21" s="29">
        <f t="shared" ref="CG21:CG31" si="25">BI21+BK21+BM21+BO21+BQ21+BS21+BU21+BW21+BY21+CA21+CC21+CE5</f>
        <v>3430</v>
      </c>
      <c r="CH21" s="29">
        <f t="shared" ref="CH21:CH31" si="26">CF21/2.5</f>
        <v>1424</v>
      </c>
      <c r="CI21" s="29">
        <f t="shared" ref="CI21:CI31" si="27">CG21/2.5</f>
        <v>1372</v>
      </c>
      <c r="CJ21" s="134">
        <f t="shared" si="20"/>
        <v>4.5401340758344277</v>
      </c>
      <c r="CK21" s="135">
        <v>14</v>
      </c>
    </row>
    <row r="22" spans="1:89" ht="20.100000000000001" customHeight="1" x14ac:dyDescent="0.25">
      <c r="A22" s="34">
        <v>3</v>
      </c>
      <c r="B22" s="29" t="s">
        <v>38</v>
      </c>
      <c r="C22" s="30" t="s">
        <v>37</v>
      </c>
      <c r="D22" s="29"/>
      <c r="E22" s="132"/>
      <c r="F22" s="29">
        <v>176</v>
      </c>
      <c r="G22" s="132">
        <v>114.80000000000001</v>
      </c>
      <c r="H22" s="29"/>
      <c r="I22" s="132"/>
      <c r="J22" s="29"/>
      <c r="K22" s="132"/>
      <c r="L22" s="29"/>
      <c r="M22" s="132"/>
      <c r="N22" s="29"/>
      <c r="O22" s="132"/>
      <c r="P22" s="28"/>
      <c r="Q22" s="136"/>
      <c r="R22" s="28"/>
      <c r="S22" s="28"/>
      <c r="T22" s="28">
        <v>280</v>
      </c>
      <c r="U22" s="136">
        <v>179.20000000000002</v>
      </c>
      <c r="V22" s="28"/>
      <c r="W22" s="136"/>
      <c r="X22" s="28">
        <v>392</v>
      </c>
      <c r="Y22" s="136">
        <v>330.8</v>
      </c>
      <c r="Z22" s="28">
        <v>1250</v>
      </c>
      <c r="AA22" s="136">
        <v>800</v>
      </c>
      <c r="AB22" s="29">
        <f t="shared" si="16"/>
        <v>2098</v>
      </c>
      <c r="AC22" s="132">
        <f t="shared" si="17"/>
        <v>1424.8</v>
      </c>
      <c r="AD22" s="29">
        <f t="shared" si="21"/>
        <v>174.83333333333334</v>
      </c>
      <c r="AE22" s="132">
        <f t="shared" si="22"/>
        <v>118.73333333333333</v>
      </c>
      <c r="AF22" s="29"/>
      <c r="AG22" s="132"/>
      <c r="AH22" s="29">
        <v>176</v>
      </c>
      <c r="AI22" s="132">
        <v>114.80000000000001</v>
      </c>
      <c r="AJ22" s="29"/>
      <c r="AK22" s="132"/>
      <c r="AL22" s="29"/>
      <c r="AM22" s="132"/>
      <c r="AN22" s="29"/>
      <c r="AO22" s="132"/>
      <c r="AP22" s="29"/>
      <c r="AQ22" s="132"/>
      <c r="AR22" s="29"/>
      <c r="AS22" s="132"/>
      <c r="AT22" s="29"/>
      <c r="AU22" s="132"/>
      <c r="AV22" s="29"/>
      <c r="AW22" s="132"/>
      <c r="AX22" s="29"/>
      <c r="AY22" s="132"/>
      <c r="AZ22" s="29"/>
      <c r="BA22" s="132"/>
      <c r="BB22" s="29"/>
      <c r="BC22" s="132"/>
      <c r="BD22" s="29">
        <f t="shared" si="18"/>
        <v>176</v>
      </c>
      <c r="BE22" s="132">
        <f t="shared" si="19"/>
        <v>114.80000000000001</v>
      </c>
      <c r="BF22" s="29">
        <f t="shared" ref="BF22:BF30" si="28">BD22/12</f>
        <v>14.666666666666666</v>
      </c>
      <c r="BG22" s="29">
        <f t="shared" si="23"/>
        <v>9.5666666666666682</v>
      </c>
      <c r="BH22" s="29">
        <v>3186</v>
      </c>
      <c r="BI22" s="29">
        <v>2102.3999999999996</v>
      </c>
      <c r="BJ22" s="29">
        <v>1970</v>
      </c>
      <c r="BK22" s="29">
        <v>1260.7999999999997</v>
      </c>
      <c r="BL22" s="29">
        <v>4506</v>
      </c>
      <c r="BM22" s="29">
        <v>2885.9999999999995</v>
      </c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>
        <f t="shared" si="24"/>
        <v>9662</v>
      </c>
      <c r="CG22" s="29">
        <f t="shared" si="25"/>
        <v>6249.1999999999989</v>
      </c>
      <c r="CH22" s="29">
        <f t="shared" si="26"/>
        <v>3864.8</v>
      </c>
      <c r="CI22" s="29">
        <f t="shared" si="27"/>
        <v>2499.6799999999994</v>
      </c>
      <c r="CJ22" s="134">
        <f t="shared" si="20"/>
        <v>0.15606710885680844</v>
      </c>
      <c r="CK22" s="135">
        <v>13</v>
      </c>
    </row>
    <row r="23" spans="1:89" ht="20.100000000000001" customHeight="1" x14ac:dyDescent="0.25">
      <c r="A23" s="34">
        <v>4</v>
      </c>
      <c r="B23" s="28" t="s">
        <v>36</v>
      </c>
      <c r="C23" s="30" t="s">
        <v>34</v>
      </c>
      <c r="D23" s="28"/>
      <c r="E23" s="136"/>
      <c r="F23" s="29"/>
      <c r="G23" s="132"/>
      <c r="H23" s="29">
        <v>360</v>
      </c>
      <c r="I23" s="132">
        <v>360</v>
      </c>
      <c r="J23" s="28"/>
      <c r="K23" s="136"/>
      <c r="L23" s="28">
        <v>1288</v>
      </c>
      <c r="M23" s="136">
        <v>824.32</v>
      </c>
      <c r="N23" s="28"/>
      <c r="O23" s="136"/>
      <c r="P23" s="28">
        <v>700</v>
      </c>
      <c r="Q23" s="136">
        <v>448</v>
      </c>
      <c r="R23" s="28"/>
      <c r="S23" s="28"/>
      <c r="T23" s="28"/>
      <c r="U23" s="136"/>
      <c r="V23" s="28"/>
      <c r="W23" s="136"/>
      <c r="X23" s="28">
        <v>280</v>
      </c>
      <c r="Y23" s="136">
        <v>179.20000000000002</v>
      </c>
      <c r="Z23" s="28">
        <v>280</v>
      </c>
      <c r="AA23" s="136">
        <v>179.20000000000002</v>
      </c>
      <c r="AB23" s="29">
        <f t="shared" si="16"/>
        <v>2908</v>
      </c>
      <c r="AC23" s="132">
        <f t="shared" si="17"/>
        <v>1990.7200000000003</v>
      </c>
      <c r="AD23" s="29">
        <f t="shared" si="21"/>
        <v>242.33333333333334</v>
      </c>
      <c r="AE23" s="132">
        <f t="shared" si="22"/>
        <v>165.89333333333335</v>
      </c>
      <c r="AF23" s="28"/>
      <c r="AG23" s="136"/>
      <c r="AH23" s="29"/>
      <c r="AI23" s="132"/>
      <c r="AJ23" s="29">
        <v>360</v>
      </c>
      <c r="AK23" s="132">
        <v>360</v>
      </c>
      <c r="AL23" s="28"/>
      <c r="AM23" s="136"/>
      <c r="AN23" s="28">
        <v>1288</v>
      </c>
      <c r="AO23" s="136">
        <v>824.32</v>
      </c>
      <c r="AP23" s="28">
        <v>700</v>
      </c>
      <c r="AQ23" s="136">
        <v>448</v>
      </c>
      <c r="AR23" s="28">
        <v>1720</v>
      </c>
      <c r="AS23" s="136">
        <v>1316.8</v>
      </c>
      <c r="AT23" s="28">
        <v>1120</v>
      </c>
      <c r="AU23" s="136">
        <v>448</v>
      </c>
      <c r="AV23" s="28">
        <v>602</v>
      </c>
      <c r="AW23" s="136">
        <v>385.28000000000003</v>
      </c>
      <c r="AX23" s="29">
        <v>350</v>
      </c>
      <c r="AY23" s="132">
        <v>224</v>
      </c>
      <c r="AZ23" s="29">
        <v>700</v>
      </c>
      <c r="BA23" s="132">
        <v>448</v>
      </c>
      <c r="BB23" s="28">
        <v>1470</v>
      </c>
      <c r="BC23" s="136">
        <v>940.8</v>
      </c>
      <c r="BD23" s="29">
        <f t="shared" si="18"/>
        <v>8310</v>
      </c>
      <c r="BE23" s="132">
        <f t="shared" si="19"/>
        <v>5395.2</v>
      </c>
      <c r="BF23" s="29">
        <f t="shared" si="28"/>
        <v>692.5</v>
      </c>
      <c r="BG23" s="29">
        <f t="shared" si="23"/>
        <v>449.59999999999997</v>
      </c>
      <c r="BH23" s="29">
        <v>4362</v>
      </c>
      <c r="BI23" s="29">
        <v>3016.3199999999997</v>
      </c>
      <c r="BJ23" s="29">
        <v>3338</v>
      </c>
      <c r="BK23" s="29">
        <v>2667.68</v>
      </c>
      <c r="BL23" s="29">
        <v>3060</v>
      </c>
      <c r="BM23" s="29">
        <v>2001.6000000000001</v>
      </c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>
        <f t="shared" si="24"/>
        <v>10760</v>
      </c>
      <c r="CG23" s="29">
        <f t="shared" si="25"/>
        <v>7685.6</v>
      </c>
      <c r="CH23" s="29">
        <f t="shared" si="26"/>
        <v>4304</v>
      </c>
      <c r="CI23" s="29">
        <f t="shared" si="27"/>
        <v>3074.2400000000002</v>
      </c>
      <c r="CJ23" s="134">
        <f t="shared" si="20"/>
        <v>7.36885042386408</v>
      </c>
      <c r="CK23" s="135">
        <v>12</v>
      </c>
    </row>
    <row r="24" spans="1:89" ht="20.100000000000001" customHeight="1" x14ac:dyDescent="0.25">
      <c r="A24" s="34">
        <v>5</v>
      </c>
      <c r="B24" s="29" t="s">
        <v>35</v>
      </c>
      <c r="C24" s="30" t="s">
        <v>34</v>
      </c>
      <c r="D24" s="29"/>
      <c r="E24" s="132"/>
      <c r="F24" s="29">
        <v>660</v>
      </c>
      <c r="G24" s="132">
        <v>436.80000000000007</v>
      </c>
      <c r="H24" s="29"/>
      <c r="I24" s="132"/>
      <c r="J24" s="29">
        <v>440</v>
      </c>
      <c r="K24" s="132">
        <v>299.60000000000002</v>
      </c>
      <c r="L24" s="29"/>
      <c r="M24" s="132"/>
      <c r="N24" s="29"/>
      <c r="O24" s="132"/>
      <c r="P24" s="28">
        <v>70</v>
      </c>
      <c r="Q24" s="136">
        <v>44.800000000000004</v>
      </c>
      <c r="R24" s="28"/>
      <c r="S24" s="28"/>
      <c r="T24" s="28"/>
      <c r="U24" s="28"/>
      <c r="V24" s="28"/>
      <c r="W24" s="136"/>
      <c r="X24" s="28"/>
      <c r="Y24" s="136"/>
      <c r="Z24" s="28">
        <v>140</v>
      </c>
      <c r="AA24" s="136">
        <v>89.600000000000009</v>
      </c>
      <c r="AB24" s="29">
        <f t="shared" si="16"/>
        <v>1310</v>
      </c>
      <c r="AC24" s="132">
        <f t="shared" si="17"/>
        <v>870.80000000000007</v>
      </c>
      <c r="AD24" s="29">
        <f t="shared" si="21"/>
        <v>109.16666666666667</v>
      </c>
      <c r="AE24" s="132">
        <f t="shared" si="22"/>
        <v>72.566666666666677</v>
      </c>
      <c r="AF24" s="29"/>
      <c r="AG24" s="132"/>
      <c r="AH24" s="29">
        <v>660</v>
      </c>
      <c r="AI24" s="132">
        <v>436.80000000000007</v>
      </c>
      <c r="AJ24" s="29"/>
      <c r="AK24" s="132"/>
      <c r="AL24" s="29">
        <v>440</v>
      </c>
      <c r="AM24" s="132">
        <v>299.60000000000002</v>
      </c>
      <c r="AN24" s="29"/>
      <c r="AO24" s="132"/>
      <c r="AP24" s="29"/>
      <c r="AQ24" s="132"/>
      <c r="AR24" s="29">
        <v>980</v>
      </c>
      <c r="AS24" s="132">
        <v>627.20000000000005</v>
      </c>
      <c r="AT24" s="29"/>
      <c r="AU24" s="132"/>
      <c r="AV24" s="29">
        <v>700</v>
      </c>
      <c r="AW24" s="132">
        <v>448</v>
      </c>
      <c r="AX24" s="29"/>
      <c r="AY24" s="132"/>
      <c r="AZ24" s="29">
        <v>700</v>
      </c>
      <c r="BA24" s="132">
        <v>448</v>
      </c>
      <c r="BB24" s="28">
        <v>700</v>
      </c>
      <c r="BC24" s="136">
        <v>448</v>
      </c>
      <c r="BD24" s="29">
        <f t="shared" si="18"/>
        <v>4180</v>
      </c>
      <c r="BE24" s="132">
        <f t="shared" si="19"/>
        <v>2707.6000000000004</v>
      </c>
      <c r="BF24" s="29">
        <f t="shared" si="28"/>
        <v>348.33333333333331</v>
      </c>
      <c r="BG24" s="29">
        <f t="shared" si="23"/>
        <v>225.63333333333335</v>
      </c>
      <c r="BH24" s="29">
        <v>4290</v>
      </c>
      <c r="BI24" s="29">
        <v>3069.6</v>
      </c>
      <c r="BJ24" s="29">
        <v>700</v>
      </c>
      <c r="BK24" s="29">
        <v>448</v>
      </c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>
        <f t="shared" si="24"/>
        <v>4990</v>
      </c>
      <c r="CG24" s="29">
        <f t="shared" si="25"/>
        <v>3517.6</v>
      </c>
      <c r="CH24" s="29">
        <f t="shared" si="26"/>
        <v>1996</v>
      </c>
      <c r="CI24" s="29">
        <f t="shared" si="27"/>
        <v>1407.04</v>
      </c>
      <c r="CJ24" s="134">
        <f t="shared" si="20"/>
        <v>3.7065938353492003</v>
      </c>
      <c r="CK24" s="135">
        <v>9</v>
      </c>
    </row>
    <row r="25" spans="1:89" ht="20.100000000000001" customHeight="1" x14ac:dyDescent="0.25">
      <c r="A25" s="34">
        <v>6</v>
      </c>
      <c r="B25" s="29" t="s">
        <v>33</v>
      </c>
      <c r="C25" s="30" t="s">
        <v>25</v>
      </c>
      <c r="D25" s="29"/>
      <c r="E25" s="132"/>
      <c r="F25" s="29"/>
      <c r="G25" s="132"/>
      <c r="H25" s="29"/>
      <c r="I25" s="132"/>
      <c r="J25" s="29"/>
      <c r="K25" s="132"/>
      <c r="L25" s="29"/>
      <c r="M25" s="132"/>
      <c r="N25" s="29"/>
      <c r="O25" s="132"/>
      <c r="P25" s="28"/>
      <c r="Q25" s="136"/>
      <c r="R25" s="28">
        <v>168</v>
      </c>
      <c r="S25" s="136">
        <v>117.6</v>
      </c>
      <c r="T25" s="28"/>
      <c r="U25" s="28"/>
      <c r="V25" s="28"/>
      <c r="W25" s="136"/>
      <c r="X25" s="28"/>
      <c r="Y25" s="136"/>
      <c r="Z25" s="28"/>
      <c r="AA25" s="136"/>
      <c r="AB25" s="29">
        <f t="shared" si="16"/>
        <v>168</v>
      </c>
      <c r="AC25" s="132">
        <f t="shared" si="17"/>
        <v>117.6</v>
      </c>
      <c r="AD25" s="29">
        <f t="shared" si="21"/>
        <v>14</v>
      </c>
      <c r="AE25" s="132">
        <f t="shared" si="22"/>
        <v>9.7999999999999989</v>
      </c>
      <c r="AF25" s="29"/>
      <c r="AG25" s="132"/>
      <c r="AH25" s="29"/>
      <c r="AI25" s="132"/>
      <c r="AJ25" s="29"/>
      <c r="AK25" s="132"/>
      <c r="AL25" s="29"/>
      <c r="AM25" s="132"/>
      <c r="AN25" s="29"/>
      <c r="AO25" s="132"/>
      <c r="AP25" s="29">
        <v>2160</v>
      </c>
      <c r="AQ25" s="132">
        <v>2160</v>
      </c>
      <c r="AR25" s="29"/>
      <c r="AS25" s="132"/>
      <c r="AT25" s="29"/>
      <c r="AU25" s="132"/>
      <c r="AV25" s="29">
        <v>12</v>
      </c>
      <c r="AW25" s="132">
        <v>12</v>
      </c>
      <c r="AX25" s="29"/>
      <c r="AY25" s="132"/>
      <c r="AZ25" s="28"/>
      <c r="BA25" s="136"/>
      <c r="BB25" s="28"/>
      <c r="BC25" s="136"/>
      <c r="BD25" s="29">
        <f t="shared" si="18"/>
        <v>2172</v>
      </c>
      <c r="BE25" s="132">
        <f t="shared" si="19"/>
        <v>2172</v>
      </c>
      <c r="BF25" s="29">
        <f t="shared" si="28"/>
        <v>181</v>
      </c>
      <c r="BG25" s="29">
        <f t="shared" si="23"/>
        <v>181</v>
      </c>
      <c r="BH25" s="29">
        <v>120</v>
      </c>
      <c r="BI25" s="29">
        <v>120</v>
      </c>
      <c r="BJ25" s="29">
        <v>60</v>
      </c>
      <c r="BK25" s="29">
        <v>60</v>
      </c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>
        <f t="shared" si="24"/>
        <v>180</v>
      </c>
      <c r="CG25" s="29">
        <f t="shared" si="25"/>
        <v>180</v>
      </c>
      <c r="CH25" s="29">
        <f t="shared" si="26"/>
        <v>72</v>
      </c>
      <c r="CI25" s="29">
        <f t="shared" si="27"/>
        <v>72</v>
      </c>
      <c r="CJ25" s="134">
        <f t="shared" si="20"/>
        <v>1.9260100024828859</v>
      </c>
      <c r="CK25" s="135">
        <v>6</v>
      </c>
    </row>
    <row r="26" spans="1:89" ht="20.100000000000001" customHeight="1" x14ac:dyDescent="0.25">
      <c r="A26" s="34">
        <v>7</v>
      </c>
      <c r="B26" s="29" t="s">
        <v>32</v>
      </c>
      <c r="C26" s="30" t="s">
        <v>25</v>
      </c>
      <c r="D26" s="29"/>
      <c r="E26" s="132"/>
      <c r="F26" s="29">
        <v>640</v>
      </c>
      <c r="G26" s="132">
        <v>539.20000000000005</v>
      </c>
      <c r="H26" s="29">
        <v>1200</v>
      </c>
      <c r="I26" s="132">
        <v>1200</v>
      </c>
      <c r="J26" s="29"/>
      <c r="K26" s="132"/>
      <c r="L26" s="29">
        <v>8220</v>
      </c>
      <c r="M26" s="132">
        <v>6708</v>
      </c>
      <c r="N26" s="29">
        <v>1800</v>
      </c>
      <c r="O26" s="132">
        <v>1800</v>
      </c>
      <c r="P26" s="28"/>
      <c r="Q26" s="28"/>
      <c r="R26" s="28"/>
      <c r="S26" s="28"/>
      <c r="T26" s="28"/>
      <c r="U26" s="28"/>
      <c r="V26" s="28">
        <v>1940</v>
      </c>
      <c r="W26" s="136">
        <v>1587.2</v>
      </c>
      <c r="X26" s="28"/>
      <c r="Y26" s="136"/>
      <c r="Z26" s="28">
        <v>1520</v>
      </c>
      <c r="AA26" s="136">
        <v>1016</v>
      </c>
      <c r="AB26" s="29">
        <f t="shared" si="16"/>
        <v>15320</v>
      </c>
      <c r="AC26" s="132">
        <f t="shared" si="17"/>
        <v>12850.400000000001</v>
      </c>
      <c r="AD26" s="29">
        <f t="shared" si="21"/>
        <v>1276.6666666666667</v>
      </c>
      <c r="AE26" s="132">
        <f t="shared" si="22"/>
        <v>1070.8666666666668</v>
      </c>
      <c r="AF26" s="29">
        <v>540</v>
      </c>
      <c r="AG26" s="132">
        <v>540</v>
      </c>
      <c r="AH26" s="29">
        <v>640</v>
      </c>
      <c r="AI26" s="132">
        <v>539.20000000000005</v>
      </c>
      <c r="AJ26" s="29">
        <v>1200</v>
      </c>
      <c r="AK26" s="132">
        <v>1200</v>
      </c>
      <c r="AL26" s="29"/>
      <c r="AM26" s="132"/>
      <c r="AN26" s="29">
        <v>8220</v>
      </c>
      <c r="AO26" s="132">
        <v>6708</v>
      </c>
      <c r="AP26" s="29"/>
      <c r="AQ26" s="132"/>
      <c r="AR26" s="29">
        <v>4300</v>
      </c>
      <c r="AS26" s="132">
        <v>4048</v>
      </c>
      <c r="AT26" s="29">
        <v>5460</v>
      </c>
      <c r="AU26" s="132">
        <v>5308.8</v>
      </c>
      <c r="AV26" s="29">
        <v>3600</v>
      </c>
      <c r="AW26" s="132">
        <v>3600</v>
      </c>
      <c r="AX26" s="29">
        <v>8400</v>
      </c>
      <c r="AY26" s="132">
        <v>8400</v>
      </c>
      <c r="AZ26" s="28">
        <v>5320</v>
      </c>
      <c r="BA26" s="136">
        <v>5219.2</v>
      </c>
      <c r="BB26" s="28">
        <v>8080</v>
      </c>
      <c r="BC26" s="136">
        <v>7979.2</v>
      </c>
      <c r="BD26" s="29">
        <f t="shared" si="18"/>
        <v>45760</v>
      </c>
      <c r="BE26" s="132">
        <f t="shared" si="19"/>
        <v>43542.399999999994</v>
      </c>
      <c r="BF26" s="29">
        <f t="shared" si="28"/>
        <v>3813.3333333333335</v>
      </c>
      <c r="BG26" s="29">
        <f t="shared" si="23"/>
        <v>3628.5333333333328</v>
      </c>
      <c r="BH26" s="29">
        <v>11160</v>
      </c>
      <c r="BI26" s="29">
        <v>11160</v>
      </c>
      <c r="BJ26" s="29">
        <v>7280</v>
      </c>
      <c r="BK26" s="29">
        <v>6776</v>
      </c>
      <c r="BL26" s="29">
        <v>5100</v>
      </c>
      <c r="BM26" s="29">
        <v>5100</v>
      </c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>
        <f t="shared" si="24"/>
        <v>23540</v>
      </c>
      <c r="CG26" s="29">
        <f t="shared" si="25"/>
        <v>23036</v>
      </c>
      <c r="CH26" s="29">
        <f t="shared" si="26"/>
        <v>9416</v>
      </c>
      <c r="CI26" s="29">
        <f t="shared" si="27"/>
        <v>9214.4</v>
      </c>
      <c r="CJ26" s="134">
        <f t="shared" si="20"/>
        <v>40.577448302770193</v>
      </c>
      <c r="CK26" s="135">
        <v>11</v>
      </c>
    </row>
    <row r="27" spans="1:89" ht="20.100000000000001" customHeight="1" x14ac:dyDescent="0.25">
      <c r="A27" s="34">
        <v>8</v>
      </c>
      <c r="B27" s="29" t="s">
        <v>31</v>
      </c>
      <c r="C27" s="30" t="s">
        <v>25</v>
      </c>
      <c r="D27" s="28"/>
      <c r="E27" s="136"/>
      <c r="F27" s="29"/>
      <c r="G27" s="132"/>
      <c r="H27" s="29"/>
      <c r="I27" s="132"/>
      <c r="J27" s="28"/>
      <c r="K27" s="136"/>
      <c r="L27" s="28"/>
      <c r="M27" s="136"/>
      <c r="N27" s="28"/>
      <c r="O27" s="136"/>
      <c r="P27" s="28"/>
      <c r="Q27" s="28"/>
      <c r="R27" s="28"/>
      <c r="S27" s="28"/>
      <c r="T27" s="28"/>
      <c r="U27" s="28"/>
      <c r="V27" s="28"/>
      <c r="W27" s="136"/>
      <c r="X27" s="28"/>
      <c r="Y27" s="136"/>
      <c r="Z27" s="28"/>
      <c r="AA27" s="136"/>
      <c r="AB27" s="29">
        <f t="shared" si="16"/>
        <v>0</v>
      </c>
      <c r="AC27" s="132">
        <f t="shared" si="17"/>
        <v>0</v>
      </c>
      <c r="AD27" s="29">
        <f t="shared" si="21"/>
        <v>0</v>
      </c>
      <c r="AE27" s="132">
        <f t="shared" si="22"/>
        <v>0</v>
      </c>
      <c r="AF27" s="28"/>
      <c r="AG27" s="136"/>
      <c r="AH27" s="29"/>
      <c r="AI27" s="132"/>
      <c r="AJ27" s="29"/>
      <c r="AK27" s="132"/>
      <c r="AL27" s="28"/>
      <c r="AM27" s="136"/>
      <c r="AN27" s="28"/>
      <c r="AO27" s="136"/>
      <c r="AP27" s="28"/>
      <c r="AQ27" s="136"/>
      <c r="AR27" s="28"/>
      <c r="AS27" s="136"/>
      <c r="AT27" s="28"/>
      <c r="AU27" s="136"/>
      <c r="AV27" s="28"/>
      <c r="AW27" s="136"/>
      <c r="AX27" s="29"/>
      <c r="AY27" s="132"/>
      <c r="AZ27" s="28"/>
      <c r="BA27" s="136"/>
      <c r="BB27" s="28"/>
      <c r="BC27" s="136"/>
      <c r="BD27" s="29">
        <f t="shared" si="18"/>
        <v>0</v>
      </c>
      <c r="BE27" s="132">
        <f t="shared" si="19"/>
        <v>0</v>
      </c>
      <c r="BF27" s="29">
        <f t="shared" si="28"/>
        <v>0</v>
      </c>
      <c r="BG27" s="29">
        <f t="shared" si="23"/>
        <v>0</v>
      </c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>
        <f t="shared" si="24"/>
        <v>0</v>
      </c>
      <c r="CG27" s="29">
        <f t="shared" si="25"/>
        <v>0</v>
      </c>
      <c r="CH27" s="29">
        <f t="shared" si="26"/>
        <v>0</v>
      </c>
      <c r="CI27" s="29">
        <f t="shared" si="27"/>
        <v>0</v>
      </c>
      <c r="CJ27" s="134">
        <f t="shared" si="20"/>
        <v>0</v>
      </c>
      <c r="CK27" s="135">
        <v>5</v>
      </c>
    </row>
    <row r="28" spans="1:89" ht="20.100000000000001" customHeight="1" x14ac:dyDescent="0.25">
      <c r="A28" s="34">
        <v>9</v>
      </c>
      <c r="B28" s="29" t="s">
        <v>30</v>
      </c>
      <c r="C28" s="30" t="s">
        <v>29</v>
      </c>
      <c r="D28" s="29"/>
      <c r="E28" s="132"/>
      <c r="F28" s="29"/>
      <c r="G28" s="132"/>
      <c r="H28" s="29"/>
      <c r="I28" s="132"/>
      <c r="J28" s="29"/>
      <c r="K28" s="132"/>
      <c r="L28" s="29"/>
      <c r="M28" s="132"/>
      <c r="N28" s="29"/>
      <c r="O28" s="132"/>
      <c r="P28" s="28"/>
      <c r="Q28" s="28"/>
      <c r="R28" s="28"/>
      <c r="S28" s="28"/>
      <c r="T28" s="28"/>
      <c r="U28" s="28"/>
      <c r="V28" s="28">
        <v>700</v>
      </c>
      <c r="W28" s="136">
        <v>448</v>
      </c>
      <c r="X28" s="28"/>
      <c r="Y28" s="136"/>
      <c r="Z28" s="28"/>
      <c r="AA28" s="136"/>
      <c r="AB28" s="29">
        <f t="shared" si="16"/>
        <v>700</v>
      </c>
      <c r="AC28" s="132">
        <f t="shared" si="17"/>
        <v>448</v>
      </c>
      <c r="AD28" s="29">
        <f t="shared" si="21"/>
        <v>58.333333333333336</v>
      </c>
      <c r="AE28" s="132">
        <f t="shared" si="22"/>
        <v>37.333333333333336</v>
      </c>
      <c r="AF28" s="29"/>
      <c r="AG28" s="132"/>
      <c r="AH28" s="29"/>
      <c r="AI28" s="132"/>
      <c r="AJ28" s="29"/>
      <c r="AK28" s="132"/>
      <c r="AL28" s="29"/>
      <c r="AM28" s="132"/>
      <c r="AN28" s="29"/>
      <c r="AO28" s="132"/>
      <c r="AP28" s="29"/>
      <c r="AQ28" s="132"/>
      <c r="AR28" s="29"/>
      <c r="AS28" s="132"/>
      <c r="AT28" s="29"/>
      <c r="AU28" s="132"/>
      <c r="AV28" s="29"/>
      <c r="AW28" s="132"/>
      <c r="AX28" s="29"/>
      <c r="AY28" s="132"/>
      <c r="AZ28" s="28"/>
      <c r="BA28" s="136"/>
      <c r="BB28" s="28"/>
      <c r="BC28" s="136"/>
      <c r="BD28" s="29">
        <f t="shared" si="18"/>
        <v>0</v>
      </c>
      <c r="BE28" s="132">
        <f t="shared" si="19"/>
        <v>0</v>
      </c>
      <c r="BF28" s="29">
        <f t="shared" si="28"/>
        <v>0</v>
      </c>
      <c r="BG28" s="29">
        <f t="shared" si="23"/>
        <v>0</v>
      </c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>
        <f t="shared" si="24"/>
        <v>0</v>
      </c>
      <c r="CG28" s="29">
        <f t="shared" si="25"/>
        <v>0</v>
      </c>
      <c r="CH28" s="29">
        <f t="shared" si="26"/>
        <v>0</v>
      </c>
      <c r="CI28" s="29">
        <f t="shared" si="27"/>
        <v>0</v>
      </c>
      <c r="CJ28" s="134">
        <f t="shared" si="20"/>
        <v>0</v>
      </c>
      <c r="CK28" s="135">
        <v>2</v>
      </c>
    </row>
    <row r="29" spans="1:89" ht="20.100000000000001" customHeight="1" x14ac:dyDescent="0.25">
      <c r="A29" s="34">
        <v>10</v>
      </c>
      <c r="B29" s="30" t="s">
        <v>28</v>
      </c>
      <c r="C29" s="30" t="s">
        <v>27</v>
      </c>
      <c r="D29" s="29">
        <v>700</v>
      </c>
      <c r="E29" s="132">
        <v>448</v>
      </c>
      <c r="F29" s="29"/>
      <c r="G29" s="132"/>
      <c r="H29" s="29">
        <v>350</v>
      </c>
      <c r="I29" s="132">
        <v>224</v>
      </c>
      <c r="J29" s="29"/>
      <c r="K29" s="132"/>
      <c r="L29" s="29"/>
      <c r="M29" s="132"/>
      <c r="N29" s="29"/>
      <c r="O29" s="132"/>
      <c r="P29" s="28"/>
      <c r="Q29" s="28"/>
      <c r="R29" s="28"/>
      <c r="S29" s="28"/>
      <c r="T29" s="28"/>
      <c r="U29" s="28"/>
      <c r="V29" s="28"/>
      <c r="W29" s="136"/>
      <c r="X29" s="28">
        <v>3360</v>
      </c>
      <c r="Y29" s="136">
        <v>2150.4</v>
      </c>
      <c r="Z29" s="28">
        <v>1670</v>
      </c>
      <c r="AA29" s="136">
        <v>1072.4000000000001</v>
      </c>
      <c r="AB29" s="29">
        <f t="shared" si="16"/>
        <v>6080</v>
      </c>
      <c r="AC29" s="132">
        <f t="shared" si="17"/>
        <v>3894.8</v>
      </c>
      <c r="AD29" s="29">
        <f t="shared" si="21"/>
        <v>506.66666666666669</v>
      </c>
      <c r="AE29" s="132">
        <f t="shared" si="22"/>
        <v>324.56666666666666</v>
      </c>
      <c r="AF29" s="29">
        <v>560</v>
      </c>
      <c r="AG29" s="132">
        <v>358.40000000000003</v>
      </c>
      <c r="AH29" s="29"/>
      <c r="AI29" s="132"/>
      <c r="AJ29" s="29">
        <v>350</v>
      </c>
      <c r="AK29" s="132">
        <v>224</v>
      </c>
      <c r="AL29" s="29"/>
      <c r="AM29" s="132"/>
      <c r="AN29" s="29"/>
      <c r="AO29" s="132"/>
      <c r="AP29" s="29">
        <v>420</v>
      </c>
      <c r="AQ29" s="132">
        <v>268.8</v>
      </c>
      <c r="AR29" s="29"/>
      <c r="AS29" s="132"/>
      <c r="AT29" s="29"/>
      <c r="AU29" s="132"/>
      <c r="AV29" s="29"/>
      <c r="AW29" s="132"/>
      <c r="AX29" s="29">
        <v>420</v>
      </c>
      <c r="AY29" s="132">
        <v>268.8</v>
      </c>
      <c r="AZ29" s="28">
        <v>70</v>
      </c>
      <c r="BA29" s="136">
        <v>44.800000000000004</v>
      </c>
      <c r="BB29" s="28">
        <v>420</v>
      </c>
      <c r="BC29" s="136">
        <v>268.8</v>
      </c>
      <c r="BD29" s="29">
        <f t="shared" si="18"/>
        <v>2240</v>
      </c>
      <c r="BE29" s="132">
        <f t="shared" si="19"/>
        <v>1433.6</v>
      </c>
      <c r="BF29" s="29">
        <f t="shared" si="28"/>
        <v>186.66666666666666</v>
      </c>
      <c r="BG29" s="29">
        <f t="shared" si="23"/>
        <v>119.46666666666665</v>
      </c>
      <c r="BH29" s="29">
        <v>840</v>
      </c>
      <c r="BI29" s="29">
        <v>537.6</v>
      </c>
      <c r="BJ29" s="29">
        <v>840</v>
      </c>
      <c r="BK29" s="29">
        <v>537.6</v>
      </c>
      <c r="BL29" s="29">
        <v>1762</v>
      </c>
      <c r="BM29" s="29">
        <v>1132</v>
      </c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>
        <f t="shared" si="24"/>
        <v>3442</v>
      </c>
      <c r="CG29" s="29">
        <f t="shared" si="25"/>
        <v>2207.1999999999998</v>
      </c>
      <c r="CH29" s="29">
        <f t="shared" si="26"/>
        <v>1376.8</v>
      </c>
      <c r="CI29" s="29">
        <f t="shared" si="27"/>
        <v>882.87999999999988</v>
      </c>
      <c r="CJ29" s="134">
        <f t="shared" si="20"/>
        <v>1.9863086581775617</v>
      </c>
      <c r="CK29" s="135">
        <v>1</v>
      </c>
    </row>
    <row r="30" spans="1:89" ht="20.100000000000001" customHeight="1" x14ac:dyDescent="0.5">
      <c r="A30" s="34">
        <v>11</v>
      </c>
      <c r="B30" s="144" t="s">
        <v>48</v>
      </c>
      <c r="C30" s="30" t="s">
        <v>26</v>
      </c>
      <c r="D30" s="29"/>
      <c r="E30" s="132"/>
      <c r="F30" s="29"/>
      <c r="G30" s="132"/>
      <c r="H30" s="29"/>
      <c r="I30" s="132"/>
      <c r="J30" s="29"/>
      <c r="K30" s="132"/>
      <c r="L30" s="29"/>
      <c r="M30" s="132"/>
      <c r="N30" s="29"/>
      <c r="O30" s="132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9">
        <f t="shared" si="16"/>
        <v>0</v>
      </c>
      <c r="AC30" s="132">
        <f t="shared" si="17"/>
        <v>0</v>
      </c>
      <c r="AD30" s="29">
        <f t="shared" si="21"/>
        <v>0</v>
      </c>
      <c r="AE30" s="132">
        <f t="shared" si="22"/>
        <v>0</v>
      </c>
      <c r="AF30" s="29">
        <v>700</v>
      </c>
      <c r="AG30" s="132">
        <v>448</v>
      </c>
      <c r="AH30" s="29">
        <v>980</v>
      </c>
      <c r="AI30" s="132">
        <v>627.20000000000005</v>
      </c>
      <c r="AJ30" s="29">
        <v>700</v>
      </c>
      <c r="AK30" s="132">
        <v>448</v>
      </c>
      <c r="AL30" s="29"/>
      <c r="AM30" s="132"/>
      <c r="AN30" s="29">
        <v>700</v>
      </c>
      <c r="AO30" s="132">
        <v>448</v>
      </c>
      <c r="AP30" s="29"/>
      <c r="AQ30" s="132"/>
      <c r="AR30" s="29">
        <v>714</v>
      </c>
      <c r="AS30" s="132">
        <v>462</v>
      </c>
      <c r="AT30" s="29">
        <v>700</v>
      </c>
      <c r="AU30" s="132">
        <v>448</v>
      </c>
      <c r="AV30" s="29">
        <v>420</v>
      </c>
      <c r="AW30" s="132">
        <v>268.8</v>
      </c>
      <c r="AX30" s="29">
        <v>700</v>
      </c>
      <c r="AY30" s="132">
        <v>448</v>
      </c>
      <c r="AZ30" s="28">
        <v>700</v>
      </c>
      <c r="BA30" s="136">
        <v>448</v>
      </c>
      <c r="BB30" s="28">
        <v>1540</v>
      </c>
      <c r="BC30" s="136">
        <v>985.6</v>
      </c>
      <c r="BD30" s="29">
        <f t="shared" si="18"/>
        <v>7854</v>
      </c>
      <c r="BE30" s="132">
        <f t="shared" si="19"/>
        <v>5031.6000000000004</v>
      </c>
      <c r="BF30" s="29">
        <f t="shared" si="28"/>
        <v>654.5</v>
      </c>
      <c r="BG30" s="29">
        <f t="shared" si="23"/>
        <v>419.3</v>
      </c>
      <c r="BH30" s="29"/>
      <c r="BI30" s="29"/>
      <c r="BJ30" s="29">
        <v>714</v>
      </c>
      <c r="BK30" s="29">
        <v>456.96</v>
      </c>
      <c r="BL30" s="29">
        <v>736</v>
      </c>
      <c r="BM30" s="29">
        <v>484</v>
      </c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>
        <f t="shared" si="24"/>
        <v>1450</v>
      </c>
      <c r="CG30" s="29">
        <f t="shared" si="25"/>
        <v>940.96</v>
      </c>
      <c r="CH30" s="29">
        <f t="shared" si="26"/>
        <v>580</v>
      </c>
      <c r="CI30" s="29">
        <f t="shared" si="27"/>
        <v>376.38400000000001</v>
      </c>
      <c r="CJ30" s="134">
        <f t="shared" si="20"/>
        <v>6.9644947327350764</v>
      </c>
      <c r="CK30" s="135">
        <v>7</v>
      </c>
    </row>
    <row r="31" spans="1:89" ht="23.1" customHeight="1" x14ac:dyDescent="0.25">
      <c r="A31" s="34">
        <v>12</v>
      </c>
      <c r="B31" s="30" t="s">
        <v>165</v>
      </c>
      <c r="C31" s="30" t="s">
        <v>26</v>
      </c>
      <c r="D31" s="28"/>
      <c r="E31" s="136"/>
      <c r="F31" s="29"/>
      <c r="G31" s="132"/>
      <c r="H31" s="29"/>
      <c r="I31" s="132"/>
      <c r="J31" s="28"/>
      <c r="K31" s="136"/>
      <c r="L31" s="28"/>
      <c r="M31" s="136"/>
      <c r="N31" s="28"/>
      <c r="O31" s="136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9">
        <f t="shared" si="16"/>
        <v>0</v>
      </c>
      <c r="AC31" s="132">
        <f t="shared" si="17"/>
        <v>0</v>
      </c>
      <c r="AD31" s="28"/>
      <c r="AE31" s="136"/>
      <c r="AF31" s="28"/>
      <c r="AG31" s="136"/>
      <c r="AH31" s="29"/>
      <c r="AI31" s="132"/>
      <c r="AJ31" s="29"/>
      <c r="AK31" s="132"/>
      <c r="AL31" s="28"/>
      <c r="AM31" s="136"/>
      <c r="AN31" s="28"/>
      <c r="AO31" s="136"/>
      <c r="AP31" s="28"/>
      <c r="AQ31" s="136"/>
      <c r="AR31" s="28"/>
      <c r="AS31" s="136"/>
      <c r="AT31" s="28"/>
      <c r="AU31" s="136"/>
      <c r="AV31" s="28"/>
      <c r="AW31" s="136"/>
      <c r="AX31" s="28"/>
      <c r="AY31" s="136"/>
      <c r="AZ31" s="28"/>
      <c r="BA31" s="136"/>
      <c r="BB31" s="28"/>
      <c r="BC31" s="136"/>
      <c r="BD31" s="28"/>
      <c r="BE31" s="136"/>
      <c r="BF31" s="29"/>
      <c r="BG31" s="29"/>
      <c r="BH31" s="29">
        <v>28</v>
      </c>
      <c r="BI31" s="29">
        <v>17.920000000000002</v>
      </c>
      <c r="BJ31" s="29">
        <v>300</v>
      </c>
      <c r="BK31" s="29">
        <v>300</v>
      </c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>
        <f t="shared" si="24"/>
        <v>328</v>
      </c>
      <c r="CG31" s="29">
        <f t="shared" si="25"/>
        <v>317.92</v>
      </c>
      <c r="CH31" s="29">
        <f t="shared" si="26"/>
        <v>131.19999999999999</v>
      </c>
      <c r="CI31" s="29">
        <f t="shared" si="27"/>
        <v>127.16800000000001</v>
      </c>
      <c r="CJ31" s="135"/>
      <c r="CK31" s="135"/>
    </row>
    <row r="32" spans="1:89" s="17" customFormat="1" ht="23.1" customHeight="1" x14ac:dyDescent="0.25">
      <c r="A32" s="24"/>
      <c r="B32" s="138" t="s">
        <v>24</v>
      </c>
      <c r="C32" s="138"/>
      <c r="D32" s="139">
        <f>SUM(D20:D30)</f>
        <v>2170</v>
      </c>
      <c r="E32" s="140">
        <f>SUM(E20:E30)</f>
        <v>1388.8000000000002</v>
      </c>
      <c r="F32" s="21">
        <f t="shared" ref="F32:AK32" si="29">SUM(F20:F31)</f>
        <v>1860</v>
      </c>
      <c r="G32" s="141">
        <f t="shared" si="29"/>
        <v>1464</v>
      </c>
      <c r="H32" s="139">
        <f t="shared" si="29"/>
        <v>4090</v>
      </c>
      <c r="I32" s="140">
        <f t="shared" si="29"/>
        <v>3834</v>
      </c>
      <c r="J32" s="21">
        <f t="shared" si="29"/>
        <v>3960</v>
      </c>
      <c r="K32" s="141">
        <f t="shared" si="29"/>
        <v>2595.6</v>
      </c>
      <c r="L32" s="21">
        <f t="shared" si="29"/>
        <v>11048</v>
      </c>
      <c r="M32" s="141">
        <f t="shared" si="29"/>
        <v>8517.92</v>
      </c>
      <c r="N32" s="21">
        <f t="shared" si="29"/>
        <v>4034</v>
      </c>
      <c r="O32" s="141">
        <f t="shared" si="29"/>
        <v>3450.8</v>
      </c>
      <c r="P32" s="21">
        <f t="shared" si="29"/>
        <v>2520</v>
      </c>
      <c r="Q32" s="141">
        <f t="shared" si="29"/>
        <v>1612.8</v>
      </c>
      <c r="R32" s="21">
        <f t="shared" si="29"/>
        <v>168</v>
      </c>
      <c r="S32" s="141">
        <f t="shared" si="29"/>
        <v>117.6</v>
      </c>
      <c r="T32" s="21">
        <f t="shared" si="29"/>
        <v>3350</v>
      </c>
      <c r="U32" s="141">
        <f t="shared" si="29"/>
        <v>2086</v>
      </c>
      <c r="V32" s="21">
        <f t="shared" si="29"/>
        <v>10860</v>
      </c>
      <c r="W32" s="141">
        <f t="shared" si="29"/>
        <v>8743.2000000000007</v>
      </c>
      <c r="X32" s="21">
        <f t="shared" si="29"/>
        <v>7426</v>
      </c>
      <c r="Y32" s="141">
        <f t="shared" si="29"/>
        <v>5125.6000000000004</v>
      </c>
      <c r="Z32" s="21">
        <f t="shared" si="29"/>
        <v>10287</v>
      </c>
      <c r="AA32" s="141">
        <f t="shared" si="29"/>
        <v>7353</v>
      </c>
      <c r="AB32" s="21">
        <f t="shared" si="29"/>
        <v>61773</v>
      </c>
      <c r="AC32" s="141">
        <f t="shared" si="29"/>
        <v>46289.320000000007</v>
      </c>
      <c r="AD32" s="21">
        <f t="shared" si="29"/>
        <v>5147.75</v>
      </c>
      <c r="AE32" s="141">
        <f t="shared" si="29"/>
        <v>3857.4433333333336</v>
      </c>
      <c r="AF32" s="21">
        <f t="shared" si="29"/>
        <v>2693</v>
      </c>
      <c r="AG32" s="141">
        <f t="shared" si="29"/>
        <v>2136.38</v>
      </c>
      <c r="AH32" s="139">
        <f t="shared" si="29"/>
        <v>4378</v>
      </c>
      <c r="AI32" s="140">
        <f t="shared" si="29"/>
        <v>3425.8</v>
      </c>
      <c r="AJ32" s="21">
        <f t="shared" si="29"/>
        <v>7860</v>
      </c>
      <c r="AK32" s="141">
        <f t="shared" si="29"/>
        <v>6360.24</v>
      </c>
      <c r="AL32" s="21">
        <f t="shared" ref="AL32:BE32" si="30">SUM(AL20:AL31)</f>
        <v>3374</v>
      </c>
      <c r="AM32" s="141">
        <f t="shared" si="30"/>
        <v>2678.48</v>
      </c>
      <c r="AN32" s="21">
        <f t="shared" si="30"/>
        <v>14006</v>
      </c>
      <c r="AO32" s="141">
        <f t="shared" si="30"/>
        <v>11136.8</v>
      </c>
      <c r="AP32" s="21">
        <f t="shared" si="30"/>
        <v>8058</v>
      </c>
      <c r="AQ32" s="141">
        <f t="shared" si="30"/>
        <v>6808.0800000000008</v>
      </c>
      <c r="AR32" s="21">
        <f t="shared" si="30"/>
        <v>10298</v>
      </c>
      <c r="AS32" s="141">
        <f t="shared" si="30"/>
        <v>8760.7999999999993</v>
      </c>
      <c r="AT32" s="21">
        <f>SUM(AT20:AT31)</f>
        <v>10956</v>
      </c>
      <c r="AU32" s="141">
        <f>SUM(AU20:AU31)</f>
        <v>9585.4700000000012</v>
      </c>
      <c r="AV32" s="21">
        <f>SUM(AV20:AV31)</f>
        <v>8055</v>
      </c>
      <c r="AW32" s="141">
        <f t="shared" si="30"/>
        <v>6980.03</v>
      </c>
      <c r="AX32" s="21">
        <f t="shared" si="30"/>
        <v>13703</v>
      </c>
      <c r="AY32" s="141">
        <f t="shared" si="30"/>
        <v>12499.259999999998</v>
      </c>
      <c r="AZ32" s="21">
        <f t="shared" si="30"/>
        <v>11422</v>
      </c>
      <c r="BA32" s="141">
        <f t="shared" si="30"/>
        <v>10009.779999999999</v>
      </c>
      <c r="BB32" s="21">
        <f t="shared" si="30"/>
        <v>17969</v>
      </c>
      <c r="BC32" s="141">
        <f t="shared" si="30"/>
        <v>15471.83</v>
      </c>
      <c r="BD32" s="21">
        <f>SUM(BD20:BD31)</f>
        <v>112772</v>
      </c>
      <c r="BE32" s="141">
        <f t="shared" si="30"/>
        <v>95852.950000000012</v>
      </c>
      <c r="BF32" s="21">
        <f>SUM(BF20:BF31)</f>
        <v>9397.6666666666661</v>
      </c>
      <c r="BG32" s="21">
        <f>SUM(BG20:BG31)</f>
        <v>7987.7458333333325</v>
      </c>
      <c r="BH32" s="21">
        <f>SUM(BH20:BH31)</f>
        <v>34861</v>
      </c>
      <c r="BI32" s="21">
        <f t="shared" ref="BI32:CI32" si="31">SUM(BI20:BI31)</f>
        <v>29199.629999999997</v>
      </c>
      <c r="BJ32" s="21">
        <f t="shared" si="31"/>
        <v>24721</v>
      </c>
      <c r="BK32" s="21">
        <f t="shared" si="31"/>
        <v>20772.93</v>
      </c>
      <c r="BL32" s="21">
        <f>SUM(BL20:BL31)</f>
        <v>21677</v>
      </c>
      <c r="BM32" s="21">
        <f>SUM(BM20:BM31)</f>
        <v>16972.050000000003</v>
      </c>
      <c r="BN32" s="21">
        <f t="shared" si="31"/>
        <v>0</v>
      </c>
      <c r="BO32" s="21">
        <f t="shared" si="31"/>
        <v>0</v>
      </c>
      <c r="BP32" s="21">
        <f t="shared" si="31"/>
        <v>0</v>
      </c>
      <c r="BQ32" s="21">
        <f t="shared" si="31"/>
        <v>0</v>
      </c>
      <c r="BR32" s="21">
        <f t="shared" si="31"/>
        <v>0</v>
      </c>
      <c r="BS32" s="21">
        <f t="shared" si="31"/>
        <v>0</v>
      </c>
      <c r="BT32" s="21">
        <f t="shared" si="31"/>
        <v>0</v>
      </c>
      <c r="BU32" s="21">
        <f t="shared" si="31"/>
        <v>0</v>
      </c>
      <c r="BV32" s="21">
        <f t="shared" si="31"/>
        <v>0</v>
      </c>
      <c r="BW32" s="21">
        <f t="shared" si="31"/>
        <v>0</v>
      </c>
      <c r="BX32" s="21">
        <f t="shared" si="31"/>
        <v>0</v>
      </c>
      <c r="BY32" s="21">
        <f t="shared" si="31"/>
        <v>0</v>
      </c>
      <c r="BZ32" s="21">
        <f t="shared" si="31"/>
        <v>0</v>
      </c>
      <c r="CA32" s="21">
        <f t="shared" si="31"/>
        <v>0</v>
      </c>
      <c r="CB32" s="21">
        <f t="shared" si="31"/>
        <v>0</v>
      </c>
      <c r="CC32" s="21">
        <f t="shared" si="31"/>
        <v>0</v>
      </c>
      <c r="CD32" s="21">
        <f t="shared" si="31"/>
        <v>0</v>
      </c>
      <c r="CE32" s="21">
        <f t="shared" si="31"/>
        <v>0</v>
      </c>
      <c r="CF32" s="21">
        <f t="shared" si="31"/>
        <v>81259</v>
      </c>
      <c r="CG32" s="21">
        <f t="shared" si="31"/>
        <v>66944.61</v>
      </c>
      <c r="CH32" s="21">
        <f>SUM(CH20:CH31)</f>
        <v>32503.599999999999</v>
      </c>
      <c r="CI32" s="21">
        <f t="shared" si="31"/>
        <v>26777.844000000001</v>
      </c>
      <c r="CJ32" s="145" t="s">
        <v>23</v>
      </c>
      <c r="CK32" s="52"/>
    </row>
    <row r="33" spans="1:89" ht="23.1" customHeight="1" x14ac:dyDescent="0.25">
      <c r="AL33" s="17"/>
      <c r="AM33" s="146"/>
    </row>
    <row r="34" spans="1:89" s="5" customFormat="1" ht="23.1" customHeight="1" thickBot="1" x14ac:dyDescent="0.3">
      <c r="A34" s="195" t="s">
        <v>22</v>
      </c>
      <c r="B34" s="195"/>
      <c r="C34" s="195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8"/>
      <c r="AG34" s="143"/>
      <c r="AI34" s="143"/>
      <c r="AK34" s="143"/>
      <c r="AM34" s="143"/>
      <c r="AO34" s="143"/>
      <c r="AQ34" s="143"/>
      <c r="AS34" s="143"/>
      <c r="AU34" s="143"/>
      <c r="AW34" s="143"/>
      <c r="AY34" s="143"/>
      <c r="BA34" s="143"/>
      <c r="BC34" s="143"/>
      <c r="BE34" s="143"/>
    </row>
    <row r="35" spans="1:89" s="126" customFormat="1" ht="23.1" customHeight="1" x14ac:dyDescent="0.25">
      <c r="A35" s="186" t="s">
        <v>46</v>
      </c>
      <c r="B35" s="186" t="s">
        <v>45</v>
      </c>
      <c r="C35" s="188"/>
      <c r="D35" s="183">
        <v>45292</v>
      </c>
      <c r="E35" s="184"/>
      <c r="F35" s="183">
        <v>45323</v>
      </c>
      <c r="G35" s="184"/>
      <c r="H35" s="183">
        <v>45352</v>
      </c>
      <c r="I35" s="184"/>
      <c r="J35" s="183">
        <v>45383</v>
      </c>
      <c r="K35" s="184"/>
      <c r="L35" s="183">
        <v>45413</v>
      </c>
      <c r="M35" s="184"/>
      <c r="N35" s="183">
        <v>45444</v>
      </c>
      <c r="O35" s="184"/>
      <c r="P35" s="183">
        <v>45474</v>
      </c>
      <c r="Q35" s="184"/>
      <c r="R35" s="183">
        <v>45505</v>
      </c>
      <c r="S35" s="184"/>
      <c r="T35" s="183">
        <v>45536</v>
      </c>
      <c r="U35" s="184"/>
      <c r="V35" s="183">
        <v>45566</v>
      </c>
      <c r="W35" s="184"/>
      <c r="X35" s="183">
        <v>45597</v>
      </c>
      <c r="Y35" s="184"/>
      <c r="Z35" s="183">
        <v>45627</v>
      </c>
      <c r="AA35" s="184"/>
      <c r="AB35" s="181" t="s">
        <v>125</v>
      </c>
      <c r="AC35" s="182"/>
      <c r="AD35" s="189" t="s">
        <v>124</v>
      </c>
      <c r="AE35" s="190"/>
      <c r="AF35" s="183">
        <v>45658</v>
      </c>
      <c r="AG35" s="184"/>
      <c r="AH35" s="183">
        <v>45689</v>
      </c>
      <c r="AI35" s="184"/>
      <c r="AJ35" s="183">
        <v>45717</v>
      </c>
      <c r="AK35" s="184"/>
      <c r="AL35" s="183">
        <v>45748</v>
      </c>
      <c r="AM35" s="184"/>
      <c r="AN35" s="183">
        <v>45778</v>
      </c>
      <c r="AO35" s="184"/>
      <c r="AP35" s="183">
        <v>45809</v>
      </c>
      <c r="AQ35" s="184"/>
      <c r="AR35" s="183">
        <v>45839</v>
      </c>
      <c r="AS35" s="184"/>
      <c r="AT35" s="183">
        <v>45870</v>
      </c>
      <c r="AU35" s="184"/>
      <c r="AV35" s="183">
        <v>45901</v>
      </c>
      <c r="AW35" s="184"/>
      <c r="AX35" s="183">
        <v>45931</v>
      </c>
      <c r="AY35" s="184"/>
      <c r="AZ35" s="183">
        <v>45962</v>
      </c>
      <c r="BA35" s="184"/>
      <c r="BB35" s="183">
        <v>45992</v>
      </c>
      <c r="BC35" s="184"/>
      <c r="BD35" s="181" t="s">
        <v>123</v>
      </c>
      <c r="BE35" s="182"/>
      <c r="BF35" s="189" t="s">
        <v>166</v>
      </c>
      <c r="BG35" s="190"/>
      <c r="BH35" s="183">
        <v>46023</v>
      </c>
      <c r="BI35" s="184"/>
      <c r="BJ35" s="183">
        <v>46054</v>
      </c>
      <c r="BK35" s="184"/>
      <c r="BL35" s="183">
        <v>46082</v>
      </c>
      <c r="BM35" s="184"/>
      <c r="BN35" s="183">
        <v>46113</v>
      </c>
      <c r="BO35" s="184"/>
      <c r="BP35" s="183">
        <v>46143</v>
      </c>
      <c r="BQ35" s="184"/>
      <c r="BR35" s="183">
        <v>46174</v>
      </c>
      <c r="BS35" s="184"/>
      <c r="BT35" s="183">
        <v>46204</v>
      </c>
      <c r="BU35" s="184"/>
      <c r="BV35" s="183">
        <v>46235</v>
      </c>
      <c r="BW35" s="184"/>
      <c r="BX35" s="183">
        <v>46266</v>
      </c>
      <c r="BY35" s="184"/>
      <c r="BZ35" s="183">
        <v>46296</v>
      </c>
      <c r="CA35" s="184"/>
      <c r="CB35" s="183">
        <v>46327</v>
      </c>
      <c r="CC35" s="184"/>
      <c r="CD35" s="183">
        <v>46357</v>
      </c>
      <c r="CE35" s="184"/>
      <c r="CF35" s="181" t="s">
        <v>153</v>
      </c>
      <c r="CG35" s="182"/>
      <c r="CH35" s="191" t="s">
        <v>42</v>
      </c>
      <c r="CI35" s="192"/>
      <c r="CJ35" s="193" t="s">
        <v>122</v>
      </c>
      <c r="CK35" s="193" t="s">
        <v>43</v>
      </c>
    </row>
    <row r="36" spans="1:89" s="126" customFormat="1" ht="20.45" customHeight="1" x14ac:dyDescent="0.25">
      <c r="A36" s="187"/>
      <c r="B36" s="187"/>
      <c r="C36" s="188"/>
      <c r="D36" s="129" t="s">
        <v>121</v>
      </c>
      <c r="E36" s="130" t="s">
        <v>93</v>
      </c>
      <c r="F36" s="129" t="s">
        <v>121</v>
      </c>
      <c r="G36" s="130" t="s">
        <v>93</v>
      </c>
      <c r="H36" s="129" t="s">
        <v>121</v>
      </c>
      <c r="I36" s="130" t="s">
        <v>93</v>
      </c>
      <c r="J36" s="129" t="s">
        <v>121</v>
      </c>
      <c r="K36" s="130" t="s">
        <v>93</v>
      </c>
      <c r="L36" s="129" t="s">
        <v>121</v>
      </c>
      <c r="M36" s="130" t="s">
        <v>93</v>
      </c>
      <c r="N36" s="129" t="s">
        <v>121</v>
      </c>
      <c r="O36" s="130" t="s">
        <v>93</v>
      </c>
      <c r="P36" s="129" t="s">
        <v>121</v>
      </c>
      <c r="Q36" s="130" t="s">
        <v>93</v>
      </c>
      <c r="R36" s="129" t="s">
        <v>121</v>
      </c>
      <c r="S36" s="130" t="s">
        <v>93</v>
      </c>
      <c r="T36" s="129" t="s">
        <v>121</v>
      </c>
      <c r="U36" s="130" t="s">
        <v>93</v>
      </c>
      <c r="V36" s="129" t="s">
        <v>121</v>
      </c>
      <c r="W36" s="130" t="s">
        <v>93</v>
      </c>
      <c r="X36" s="129" t="s">
        <v>121</v>
      </c>
      <c r="Y36" s="130" t="s">
        <v>93</v>
      </c>
      <c r="Z36" s="129" t="s">
        <v>121</v>
      </c>
      <c r="AA36" s="130" t="s">
        <v>93</v>
      </c>
      <c r="AB36" s="129" t="s">
        <v>121</v>
      </c>
      <c r="AC36" s="130" t="s">
        <v>93</v>
      </c>
      <c r="AD36" s="127" t="s">
        <v>121</v>
      </c>
      <c r="AE36" s="131" t="s">
        <v>93</v>
      </c>
      <c r="AF36" s="129" t="s">
        <v>121</v>
      </c>
      <c r="AG36" s="130" t="s">
        <v>93</v>
      </c>
      <c r="AH36" s="129" t="s">
        <v>121</v>
      </c>
      <c r="AI36" s="130" t="s">
        <v>93</v>
      </c>
      <c r="AJ36" s="129" t="s">
        <v>121</v>
      </c>
      <c r="AK36" s="130" t="s">
        <v>93</v>
      </c>
      <c r="AL36" s="129" t="s">
        <v>121</v>
      </c>
      <c r="AM36" s="130" t="s">
        <v>93</v>
      </c>
      <c r="AN36" s="129" t="s">
        <v>121</v>
      </c>
      <c r="AO36" s="130" t="s">
        <v>93</v>
      </c>
      <c r="AP36" s="129" t="s">
        <v>121</v>
      </c>
      <c r="AQ36" s="130" t="s">
        <v>93</v>
      </c>
      <c r="AR36" s="129" t="s">
        <v>121</v>
      </c>
      <c r="AS36" s="130" t="s">
        <v>93</v>
      </c>
      <c r="AT36" s="129" t="s">
        <v>121</v>
      </c>
      <c r="AU36" s="130" t="s">
        <v>93</v>
      </c>
      <c r="AV36" s="129" t="s">
        <v>121</v>
      </c>
      <c r="AW36" s="130" t="s">
        <v>93</v>
      </c>
      <c r="AX36" s="129" t="s">
        <v>121</v>
      </c>
      <c r="AY36" s="130" t="s">
        <v>93</v>
      </c>
      <c r="AZ36" s="129" t="s">
        <v>121</v>
      </c>
      <c r="BA36" s="130" t="s">
        <v>93</v>
      </c>
      <c r="BB36" s="129" t="s">
        <v>121</v>
      </c>
      <c r="BC36" s="130" t="s">
        <v>93</v>
      </c>
      <c r="BD36" s="129" t="s">
        <v>121</v>
      </c>
      <c r="BE36" s="130" t="s">
        <v>93</v>
      </c>
      <c r="BF36" s="129" t="s">
        <v>121</v>
      </c>
      <c r="BG36" s="130" t="s">
        <v>93</v>
      </c>
      <c r="BH36" s="129" t="s">
        <v>121</v>
      </c>
      <c r="BI36" s="130" t="s">
        <v>93</v>
      </c>
      <c r="BJ36" s="129" t="s">
        <v>121</v>
      </c>
      <c r="BK36" s="130" t="s">
        <v>93</v>
      </c>
      <c r="BL36" s="129" t="s">
        <v>121</v>
      </c>
      <c r="BM36" s="130" t="s">
        <v>93</v>
      </c>
      <c r="BN36" s="129" t="s">
        <v>121</v>
      </c>
      <c r="BO36" s="130" t="s">
        <v>93</v>
      </c>
      <c r="BP36" s="129" t="s">
        <v>121</v>
      </c>
      <c r="BQ36" s="130" t="s">
        <v>93</v>
      </c>
      <c r="BR36" s="129" t="s">
        <v>121</v>
      </c>
      <c r="BS36" s="130" t="s">
        <v>93</v>
      </c>
      <c r="BT36" s="129" t="s">
        <v>121</v>
      </c>
      <c r="BU36" s="130" t="s">
        <v>93</v>
      </c>
      <c r="BV36" s="129" t="s">
        <v>121</v>
      </c>
      <c r="BW36" s="130" t="s">
        <v>93</v>
      </c>
      <c r="BX36" s="129" t="s">
        <v>121</v>
      </c>
      <c r="BY36" s="130" t="s">
        <v>93</v>
      </c>
      <c r="BZ36" s="129" t="s">
        <v>121</v>
      </c>
      <c r="CA36" s="130" t="s">
        <v>93</v>
      </c>
      <c r="CB36" s="129" t="s">
        <v>121</v>
      </c>
      <c r="CC36" s="130" t="s">
        <v>93</v>
      </c>
      <c r="CD36" s="129" t="s">
        <v>121</v>
      </c>
      <c r="CE36" s="130" t="s">
        <v>93</v>
      </c>
      <c r="CF36" s="129" t="s">
        <v>121</v>
      </c>
      <c r="CG36" s="130" t="s">
        <v>93</v>
      </c>
      <c r="CH36" s="128" t="s">
        <v>121</v>
      </c>
      <c r="CI36" s="128" t="s">
        <v>93</v>
      </c>
      <c r="CJ36" s="196"/>
      <c r="CK36" s="194"/>
    </row>
    <row r="37" spans="1:89" s="5" customFormat="1" ht="20.100000000000001" customHeight="1" x14ac:dyDescent="0.25">
      <c r="A37" s="149">
        <v>1</v>
      </c>
      <c r="B37" s="149" t="s">
        <v>15</v>
      </c>
      <c r="C37" s="150"/>
      <c r="D37" s="150">
        <f t="shared" ref="D37:AI37" si="32">D16-D32</f>
        <v>282810</v>
      </c>
      <c r="E37" s="151">
        <f t="shared" si="32"/>
        <v>199257.16</v>
      </c>
      <c r="F37" s="150">
        <f t="shared" si="32"/>
        <v>248542</v>
      </c>
      <c r="G37" s="151">
        <f t="shared" si="32"/>
        <v>173883.76</v>
      </c>
      <c r="H37" s="150">
        <f t="shared" si="32"/>
        <v>302090</v>
      </c>
      <c r="I37" s="151">
        <f t="shared" si="32"/>
        <v>212267.84000000003</v>
      </c>
      <c r="J37" s="150">
        <f t="shared" si="32"/>
        <v>309246</v>
      </c>
      <c r="K37" s="151">
        <f t="shared" si="32"/>
        <v>217565.44</v>
      </c>
      <c r="L37" s="150">
        <f t="shared" si="32"/>
        <v>308475</v>
      </c>
      <c r="M37" s="151">
        <f t="shared" si="32"/>
        <v>212500.86</v>
      </c>
      <c r="N37" s="150">
        <f t="shared" si="32"/>
        <v>315386</v>
      </c>
      <c r="O37" s="151">
        <f t="shared" si="32"/>
        <v>223555.92</v>
      </c>
      <c r="P37" s="150">
        <f t="shared" si="32"/>
        <v>306692</v>
      </c>
      <c r="Q37" s="151">
        <f t="shared" si="32"/>
        <v>218198.40000000002</v>
      </c>
      <c r="R37" s="150">
        <f t="shared" si="32"/>
        <v>358098</v>
      </c>
      <c r="S37" s="151">
        <f t="shared" si="32"/>
        <v>257427.19999999998</v>
      </c>
      <c r="T37" s="150">
        <f t="shared" si="32"/>
        <v>286119</v>
      </c>
      <c r="U37" s="151">
        <f t="shared" si="32"/>
        <v>209598.06</v>
      </c>
      <c r="V37" s="150">
        <f t="shared" si="32"/>
        <v>323564</v>
      </c>
      <c r="W37" s="151">
        <f t="shared" si="32"/>
        <v>233499.48</v>
      </c>
      <c r="X37" s="150">
        <f t="shared" si="32"/>
        <v>243870</v>
      </c>
      <c r="Y37" s="151">
        <f t="shared" si="32"/>
        <v>176139.24</v>
      </c>
      <c r="Z37" s="150">
        <f t="shared" si="32"/>
        <v>288238</v>
      </c>
      <c r="AA37" s="151">
        <f t="shared" si="32"/>
        <v>213092.46000000002</v>
      </c>
      <c r="AB37" s="150">
        <f t="shared" si="32"/>
        <v>3573130</v>
      </c>
      <c r="AC37" s="151">
        <f t="shared" si="32"/>
        <v>2546985.8200000008</v>
      </c>
      <c r="AD37" s="150">
        <f t="shared" si="32"/>
        <v>297760.83333333343</v>
      </c>
      <c r="AE37" s="151">
        <f t="shared" si="32"/>
        <v>212248.81833333333</v>
      </c>
      <c r="AF37" s="150">
        <f t="shared" si="32"/>
        <v>289374</v>
      </c>
      <c r="AG37" s="151">
        <f t="shared" si="32"/>
        <v>214898.87999999998</v>
      </c>
      <c r="AH37" s="150">
        <f t="shared" si="32"/>
        <v>289216</v>
      </c>
      <c r="AI37" s="151">
        <f t="shared" si="32"/>
        <v>212443.84000000005</v>
      </c>
      <c r="AJ37" s="150">
        <f t="shared" ref="AJ37:BC37" si="33">AJ16-AJ32</f>
        <v>357264</v>
      </c>
      <c r="AK37" s="151">
        <f t="shared" si="33"/>
        <v>257304.40000000002</v>
      </c>
      <c r="AL37" s="150">
        <f t="shared" si="33"/>
        <v>246748</v>
      </c>
      <c r="AM37" s="151">
        <f t="shared" si="33"/>
        <v>172616.80000000002</v>
      </c>
      <c r="AN37" s="150">
        <f t="shared" si="33"/>
        <v>352418</v>
      </c>
      <c r="AO37" s="151">
        <f t="shared" si="33"/>
        <v>261198.15999999997</v>
      </c>
      <c r="AP37" s="150">
        <f t="shared" si="33"/>
        <v>334650</v>
      </c>
      <c r="AQ37" s="151">
        <f t="shared" si="33"/>
        <v>249323.12000000005</v>
      </c>
      <c r="AR37" s="150">
        <f t="shared" si="33"/>
        <v>309034</v>
      </c>
      <c r="AS37" s="151">
        <f t="shared" si="33"/>
        <v>228349.52</v>
      </c>
      <c r="AT37" s="150">
        <f>AT16-AT32</f>
        <v>295261</v>
      </c>
      <c r="AU37" s="151">
        <f t="shared" si="33"/>
        <v>224937.63999999996</v>
      </c>
      <c r="AV37" s="150">
        <f>AV16-AV32</f>
        <v>302496</v>
      </c>
      <c r="AW37" s="151">
        <f t="shared" si="33"/>
        <v>230509.59999999998</v>
      </c>
      <c r="AX37" s="150">
        <f>AX16-AX32</f>
        <v>288684</v>
      </c>
      <c r="AY37" s="151">
        <f t="shared" si="33"/>
        <v>214577.19999999998</v>
      </c>
      <c r="AZ37" s="150">
        <f>AZ16-AZ32</f>
        <v>271210</v>
      </c>
      <c r="BA37" s="151">
        <f t="shared" si="33"/>
        <v>205953.03999999998</v>
      </c>
      <c r="BB37" s="150">
        <f t="shared" si="33"/>
        <v>290204</v>
      </c>
      <c r="BC37" s="151">
        <f t="shared" si="33"/>
        <v>223647.84000000003</v>
      </c>
      <c r="BD37" s="150">
        <f>BD16-BD32</f>
        <v>3626559</v>
      </c>
      <c r="BE37" s="151">
        <f>BE16-BE32</f>
        <v>2695760.0399999996</v>
      </c>
      <c r="BF37" s="175">
        <f>BF16-BF32</f>
        <v>302213.24999999994</v>
      </c>
      <c r="BG37" s="175">
        <f>BG16-BG32</f>
        <v>224646.66999999998</v>
      </c>
      <c r="BH37" s="175">
        <f t="shared" ref="BH37:CE37" si="34">BH16-BH32</f>
        <v>264314</v>
      </c>
      <c r="BI37" s="175">
        <f t="shared" si="34"/>
        <v>204326.31999999998</v>
      </c>
      <c r="BJ37" s="175">
        <f>BJ16-BJ32</f>
        <v>261178</v>
      </c>
      <c r="BK37" s="175">
        <f>BK16-BK32</f>
        <v>200905.68</v>
      </c>
      <c r="BL37" s="175">
        <f>BL16-BL32</f>
        <v>176168</v>
      </c>
      <c r="BM37" s="175">
        <f t="shared" si="34"/>
        <v>140597.12</v>
      </c>
      <c r="BN37" s="175">
        <f t="shared" si="34"/>
        <v>0</v>
      </c>
      <c r="BO37" s="175">
        <f t="shared" si="34"/>
        <v>0</v>
      </c>
      <c r="BP37" s="175">
        <f t="shared" si="34"/>
        <v>0</v>
      </c>
      <c r="BQ37" s="175">
        <f t="shared" si="34"/>
        <v>0</v>
      </c>
      <c r="BR37" s="175">
        <f t="shared" si="34"/>
        <v>0</v>
      </c>
      <c r="BS37" s="175">
        <f t="shared" si="34"/>
        <v>0</v>
      </c>
      <c r="BT37" s="175">
        <f t="shared" si="34"/>
        <v>0</v>
      </c>
      <c r="BU37" s="175">
        <f t="shared" si="34"/>
        <v>0</v>
      </c>
      <c r="BV37" s="175">
        <f t="shared" si="34"/>
        <v>0</v>
      </c>
      <c r="BW37" s="175">
        <f t="shared" si="34"/>
        <v>0</v>
      </c>
      <c r="BX37" s="175">
        <f t="shared" si="34"/>
        <v>0</v>
      </c>
      <c r="BY37" s="175">
        <f t="shared" si="34"/>
        <v>0</v>
      </c>
      <c r="BZ37" s="175">
        <f t="shared" si="34"/>
        <v>0</v>
      </c>
      <c r="CA37" s="175">
        <f t="shared" si="34"/>
        <v>0</v>
      </c>
      <c r="CB37" s="175">
        <f t="shared" si="34"/>
        <v>0</v>
      </c>
      <c r="CC37" s="175">
        <f t="shared" si="34"/>
        <v>0</v>
      </c>
      <c r="CD37" s="175">
        <f t="shared" si="34"/>
        <v>0</v>
      </c>
      <c r="CE37" s="175">
        <f t="shared" si="34"/>
        <v>0</v>
      </c>
      <c r="CF37" s="175">
        <f t="shared" ref="CF37:CG37" si="35">CF16-CF32</f>
        <v>701660</v>
      </c>
      <c r="CG37" s="175">
        <f t="shared" si="35"/>
        <v>545829.11999999988</v>
      </c>
      <c r="CH37" s="175">
        <f>CH16-CH32</f>
        <v>280664</v>
      </c>
      <c r="CI37" s="175">
        <f>CI16-CI32</f>
        <v>218331.64799999996</v>
      </c>
    </row>
    <row r="38" spans="1:89" s="5" customFormat="1" ht="20.100000000000001" customHeight="1" x14ac:dyDescent="0.25">
      <c r="A38" s="149">
        <v>2</v>
      </c>
      <c r="B38" s="149" t="s">
        <v>14</v>
      </c>
      <c r="C38" s="152"/>
      <c r="D38" s="152">
        <f t="shared" ref="D38:AI38" si="36">D32</f>
        <v>2170</v>
      </c>
      <c r="E38" s="121">
        <f t="shared" si="36"/>
        <v>1388.8000000000002</v>
      </c>
      <c r="F38" s="152">
        <f t="shared" si="36"/>
        <v>1860</v>
      </c>
      <c r="G38" s="121">
        <f t="shared" si="36"/>
        <v>1464</v>
      </c>
      <c r="H38" s="152">
        <f t="shared" si="36"/>
        <v>4090</v>
      </c>
      <c r="I38" s="121">
        <f t="shared" si="36"/>
        <v>3834</v>
      </c>
      <c r="J38" s="152">
        <f t="shared" si="36"/>
        <v>3960</v>
      </c>
      <c r="K38" s="121">
        <f t="shared" si="36"/>
        <v>2595.6</v>
      </c>
      <c r="L38" s="152">
        <f t="shared" si="36"/>
        <v>11048</v>
      </c>
      <c r="M38" s="121">
        <f t="shared" si="36"/>
        <v>8517.92</v>
      </c>
      <c r="N38" s="152">
        <f t="shared" si="36"/>
        <v>4034</v>
      </c>
      <c r="O38" s="121">
        <f t="shared" si="36"/>
        <v>3450.8</v>
      </c>
      <c r="P38" s="152">
        <f t="shared" si="36"/>
        <v>2520</v>
      </c>
      <c r="Q38" s="121">
        <f t="shared" si="36"/>
        <v>1612.8</v>
      </c>
      <c r="R38" s="152">
        <f t="shared" si="36"/>
        <v>168</v>
      </c>
      <c r="S38" s="121">
        <f t="shared" si="36"/>
        <v>117.6</v>
      </c>
      <c r="T38" s="152">
        <f t="shared" si="36"/>
        <v>3350</v>
      </c>
      <c r="U38" s="121">
        <f t="shared" si="36"/>
        <v>2086</v>
      </c>
      <c r="V38" s="152">
        <f t="shared" si="36"/>
        <v>10860</v>
      </c>
      <c r="W38" s="121">
        <f t="shared" si="36"/>
        <v>8743.2000000000007</v>
      </c>
      <c r="X38" s="152">
        <f t="shared" si="36"/>
        <v>7426</v>
      </c>
      <c r="Y38" s="121">
        <f t="shared" si="36"/>
        <v>5125.6000000000004</v>
      </c>
      <c r="Z38" s="152">
        <f t="shared" si="36"/>
        <v>10287</v>
      </c>
      <c r="AA38" s="121">
        <f t="shared" si="36"/>
        <v>7353</v>
      </c>
      <c r="AB38" s="152">
        <f t="shared" si="36"/>
        <v>61773</v>
      </c>
      <c r="AC38" s="121">
        <f t="shared" si="36"/>
        <v>46289.320000000007</v>
      </c>
      <c r="AD38" s="152">
        <f t="shared" si="36"/>
        <v>5147.75</v>
      </c>
      <c r="AE38" s="121">
        <f t="shared" si="36"/>
        <v>3857.4433333333336</v>
      </c>
      <c r="AF38" s="152">
        <f t="shared" si="36"/>
        <v>2693</v>
      </c>
      <c r="AG38" s="121">
        <f t="shared" si="36"/>
        <v>2136.38</v>
      </c>
      <c r="AH38" s="152">
        <f t="shared" si="36"/>
        <v>4378</v>
      </c>
      <c r="AI38" s="121">
        <f t="shared" si="36"/>
        <v>3425.8</v>
      </c>
      <c r="AJ38" s="152">
        <f t="shared" ref="AJ38:BE38" si="37">AJ32</f>
        <v>7860</v>
      </c>
      <c r="AK38" s="121">
        <f t="shared" si="37"/>
        <v>6360.24</v>
      </c>
      <c r="AL38" s="152">
        <f t="shared" si="37"/>
        <v>3374</v>
      </c>
      <c r="AM38" s="121">
        <f t="shared" si="37"/>
        <v>2678.48</v>
      </c>
      <c r="AN38" s="121">
        <f t="shared" si="37"/>
        <v>14006</v>
      </c>
      <c r="AO38" s="121">
        <f t="shared" si="37"/>
        <v>11136.8</v>
      </c>
      <c r="AP38" s="121">
        <f t="shared" si="37"/>
        <v>8058</v>
      </c>
      <c r="AQ38" s="121">
        <f t="shared" si="37"/>
        <v>6808.0800000000008</v>
      </c>
      <c r="AR38" s="121">
        <f t="shared" si="37"/>
        <v>10298</v>
      </c>
      <c r="AS38" s="121">
        <f t="shared" si="37"/>
        <v>8760.7999999999993</v>
      </c>
      <c r="AT38" s="121">
        <f t="shared" si="37"/>
        <v>10956</v>
      </c>
      <c r="AU38" s="121">
        <f t="shared" si="37"/>
        <v>9585.4700000000012</v>
      </c>
      <c r="AV38" s="121">
        <f>AV32</f>
        <v>8055</v>
      </c>
      <c r="AW38" s="121">
        <f>AW32</f>
        <v>6980.03</v>
      </c>
      <c r="AX38" s="152">
        <f t="shared" si="37"/>
        <v>13703</v>
      </c>
      <c r="AY38" s="121">
        <f t="shared" si="37"/>
        <v>12499.259999999998</v>
      </c>
      <c r="AZ38" s="152">
        <f t="shared" si="37"/>
        <v>11422</v>
      </c>
      <c r="BA38" s="121">
        <f t="shared" si="37"/>
        <v>10009.779999999999</v>
      </c>
      <c r="BB38" s="152">
        <f t="shared" si="37"/>
        <v>17969</v>
      </c>
      <c r="BC38" s="121">
        <f t="shared" si="37"/>
        <v>15471.83</v>
      </c>
      <c r="BD38" s="152">
        <f>BD32</f>
        <v>112772</v>
      </c>
      <c r="BE38" s="121">
        <f t="shared" si="37"/>
        <v>95852.950000000012</v>
      </c>
      <c r="BF38" s="179">
        <f>BF32</f>
        <v>9397.6666666666661</v>
      </c>
      <c r="BG38" s="179">
        <f>BG32</f>
        <v>7987.7458333333325</v>
      </c>
      <c r="BH38" s="176">
        <f>BH32</f>
        <v>34861</v>
      </c>
      <c r="BI38" s="176">
        <f t="shared" ref="BI38:CI38" si="38">BI32</f>
        <v>29199.629999999997</v>
      </c>
      <c r="BJ38" s="176">
        <f t="shared" si="38"/>
        <v>24721</v>
      </c>
      <c r="BK38" s="176">
        <f t="shared" si="38"/>
        <v>20772.93</v>
      </c>
      <c r="BL38" s="176">
        <f t="shared" si="38"/>
        <v>21677</v>
      </c>
      <c r="BM38" s="176">
        <f t="shared" si="38"/>
        <v>16972.050000000003</v>
      </c>
      <c r="BN38" s="176">
        <f t="shared" si="38"/>
        <v>0</v>
      </c>
      <c r="BO38" s="176">
        <f t="shared" si="38"/>
        <v>0</v>
      </c>
      <c r="BP38" s="176">
        <f t="shared" si="38"/>
        <v>0</v>
      </c>
      <c r="BQ38" s="176">
        <f t="shared" si="38"/>
        <v>0</v>
      </c>
      <c r="BR38" s="176">
        <f t="shared" si="38"/>
        <v>0</v>
      </c>
      <c r="BS38" s="176">
        <f t="shared" si="38"/>
        <v>0</v>
      </c>
      <c r="BT38" s="176">
        <f t="shared" si="38"/>
        <v>0</v>
      </c>
      <c r="BU38" s="176">
        <f t="shared" si="38"/>
        <v>0</v>
      </c>
      <c r="BV38" s="176">
        <f t="shared" si="38"/>
        <v>0</v>
      </c>
      <c r="BW38" s="176">
        <f t="shared" si="38"/>
        <v>0</v>
      </c>
      <c r="BX38" s="176">
        <f t="shared" si="38"/>
        <v>0</v>
      </c>
      <c r="BY38" s="176">
        <f t="shared" si="38"/>
        <v>0</v>
      </c>
      <c r="BZ38" s="176">
        <f t="shared" si="38"/>
        <v>0</v>
      </c>
      <c r="CA38" s="176">
        <f t="shared" si="38"/>
        <v>0</v>
      </c>
      <c r="CB38" s="176">
        <f t="shared" si="38"/>
        <v>0</v>
      </c>
      <c r="CC38" s="176">
        <f t="shared" si="38"/>
        <v>0</v>
      </c>
      <c r="CD38" s="176">
        <f t="shared" si="38"/>
        <v>0</v>
      </c>
      <c r="CE38" s="176">
        <f t="shared" si="38"/>
        <v>0</v>
      </c>
      <c r="CF38" s="176">
        <f t="shared" si="38"/>
        <v>81259</v>
      </c>
      <c r="CG38" s="176">
        <f t="shared" si="38"/>
        <v>66944.61</v>
      </c>
      <c r="CH38" s="176">
        <f t="shared" si="38"/>
        <v>32503.599999999999</v>
      </c>
      <c r="CI38" s="176">
        <f t="shared" si="38"/>
        <v>26777.844000000001</v>
      </c>
    </row>
    <row r="39" spans="1:89" s="5" customFormat="1" ht="20.100000000000001" customHeight="1" x14ac:dyDescent="0.25">
      <c r="A39" s="197" t="s">
        <v>13</v>
      </c>
      <c r="B39" s="197"/>
      <c r="C39" s="153"/>
      <c r="D39" s="153">
        <f t="shared" ref="D39:AI39" si="39">SUM(D37:D38)</f>
        <v>284980</v>
      </c>
      <c r="E39" s="154">
        <f t="shared" si="39"/>
        <v>200645.96</v>
      </c>
      <c r="F39" s="153">
        <f t="shared" si="39"/>
        <v>250402</v>
      </c>
      <c r="G39" s="154">
        <f t="shared" si="39"/>
        <v>175347.76</v>
      </c>
      <c r="H39" s="153">
        <f t="shared" si="39"/>
        <v>306180</v>
      </c>
      <c r="I39" s="154">
        <f t="shared" si="39"/>
        <v>216101.84000000003</v>
      </c>
      <c r="J39" s="153">
        <f t="shared" si="39"/>
        <v>313206</v>
      </c>
      <c r="K39" s="154">
        <f t="shared" si="39"/>
        <v>220161.04</v>
      </c>
      <c r="L39" s="153">
        <f t="shared" si="39"/>
        <v>319523</v>
      </c>
      <c r="M39" s="154">
        <f t="shared" si="39"/>
        <v>221018.78</v>
      </c>
      <c r="N39" s="153">
        <f t="shared" si="39"/>
        <v>319420</v>
      </c>
      <c r="O39" s="154">
        <f t="shared" si="39"/>
        <v>227006.72</v>
      </c>
      <c r="P39" s="153">
        <f t="shared" si="39"/>
        <v>309212</v>
      </c>
      <c r="Q39" s="154">
        <f t="shared" si="39"/>
        <v>219811.20000000001</v>
      </c>
      <c r="R39" s="153">
        <f t="shared" si="39"/>
        <v>358266</v>
      </c>
      <c r="S39" s="154">
        <f t="shared" si="39"/>
        <v>257544.8</v>
      </c>
      <c r="T39" s="153">
        <f t="shared" si="39"/>
        <v>289469</v>
      </c>
      <c r="U39" s="154">
        <f t="shared" si="39"/>
        <v>211684.06</v>
      </c>
      <c r="V39" s="153">
        <f t="shared" si="39"/>
        <v>334424</v>
      </c>
      <c r="W39" s="154">
        <f t="shared" si="39"/>
        <v>242242.68000000002</v>
      </c>
      <c r="X39" s="153">
        <f t="shared" si="39"/>
        <v>251296</v>
      </c>
      <c r="Y39" s="154">
        <f t="shared" si="39"/>
        <v>181264.84</v>
      </c>
      <c r="Z39" s="153">
        <f t="shared" si="39"/>
        <v>298525</v>
      </c>
      <c r="AA39" s="154">
        <f t="shared" si="39"/>
        <v>220445.46000000002</v>
      </c>
      <c r="AB39" s="153">
        <f t="shared" si="39"/>
        <v>3634903</v>
      </c>
      <c r="AC39" s="154">
        <f t="shared" si="39"/>
        <v>2593275.1400000006</v>
      </c>
      <c r="AD39" s="153">
        <f t="shared" si="39"/>
        <v>302908.58333333343</v>
      </c>
      <c r="AE39" s="154">
        <f t="shared" si="39"/>
        <v>216106.26166666666</v>
      </c>
      <c r="AF39" s="153">
        <f t="shared" si="39"/>
        <v>292067</v>
      </c>
      <c r="AG39" s="154">
        <f t="shared" si="39"/>
        <v>217035.25999999998</v>
      </c>
      <c r="AH39" s="153">
        <f t="shared" si="39"/>
        <v>293594</v>
      </c>
      <c r="AI39" s="154">
        <f t="shared" si="39"/>
        <v>215869.64000000004</v>
      </c>
      <c r="AJ39" s="153">
        <f t="shared" ref="AJ39:BE39" si="40">SUM(AJ37:AJ38)</f>
        <v>365124</v>
      </c>
      <c r="AK39" s="154">
        <f t="shared" si="40"/>
        <v>263664.64000000001</v>
      </c>
      <c r="AL39" s="153">
        <f t="shared" si="40"/>
        <v>250122</v>
      </c>
      <c r="AM39" s="154">
        <f t="shared" si="40"/>
        <v>175295.28000000003</v>
      </c>
      <c r="AN39" s="153">
        <f t="shared" si="40"/>
        <v>366424</v>
      </c>
      <c r="AO39" s="154">
        <f t="shared" si="40"/>
        <v>272334.95999999996</v>
      </c>
      <c r="AP39" s="153">
        <f t="shared" si="40"/>
        <v>342708</v>
      </c>
      <c r="AQ39" s="154">
        <f t="shared" si="40"/>
        <v>256131.20000000004</v>
      </c>
      <c r="AR39" s="153">
        <f t="shared" si="40"/>
        <v>319332</v>
      </c>
      <c r="AS39" s="154">
        <f t="shared" si="40"/>
        <v>237110.31999999998</v>
      </c>
      <c r="AT39" s="153">
        <f t="shared" si="40"/>
        <v>306217</v>
      </c>
      <c r="AU39" s="154">
        <f t="shared" si="40"/>
        <v>234523.10999999996</v>
      </c>
      <c r="AV39" s="153">
        <f>SUM(AV37:AV38)</f>
        <v>310551</v>
      </c>
      <c r="AW39" s="154">
        <f>SUM(AW37:AW38)</f>
        <v>237489.62999999998</v>
      </c>
      <c r="AX39" s="153">
        <f t="shared" si="40"/>
        <v>302387</v>
      </c>
      <c r="AY39" s="154">
        <f t="shared" si="40"/>
        <v>227076.46</v>
      </c>
      <c r="AZ39" s="153">
        <f t="shared" si="40"/>
        <v>282632</v>
      </c>
      <c r="BA39" s="154">
        <f t="shared" si="40"/>
        <v>215962.81999999998</v>
      </c>
      <c r="BB39" s="153">
        <f t="shared" si="40"/>
        <v>308173</v>
      </c>
      <c r="BC39" s="154">
        <f t="shared" si="40"/>
        <v>239119.67</v>
      </c>
      <c r="BD39" s="153">
        <f t="shared" si="40"/>
        <v>3739331</v>
      </c>
      <c r="BE39" s="154">
        <f t="shared" si="40"/>
        <v>2791612.9899999998</v>
      </c>
      <c r="BF39" s="177">
        <f>SUM(BF37:BF38)</f>
        <v>311610.91666666663</v>
      </c>
      <c r="BG39" s="177">
        <f>SUM(BG37:BG38)</f>
        <v>232634.4158333333</v>
      </c>
      <c r="BH39" s="177">
        <f>SUM(BH37:BH38)</f>
        <v>299175</v>
      </c>
      <c r="BI39" s="177">
        <f>SUM(BI37:BI38)</f>
        <v>233525.94999999998</v>
      </c>
      <c r="BJ39" s="177">
        <f t="shared" ref="BJ39:CE39" si="41">SUM(BJ37:BJ38)</f>
        <v>285899</v>
      </c>
      <c r="BK39" s="177">
        <f t="shared" si="41"/>
        <v>221678.61</v>
      </c>
      <c r="BL39" s="177">
        <f t="shared" si="41"/>
        <v>197845</v>
      </c>
      <c r="BM39" s="177">
        <f t="shared" si="41"/>
        <v>157569.16999999998</v>
      </c>
      <c r="BN39" s="177">
        <f t="shared" si="41"/>
        <v>0</v>
      </c>
      <c r="BO39" s="177">
        <f t="shared" si="41"/>
        <v>0</v>
      </c>
      <c r="BP39" s="177">
        <f t="shared" si="41"/>
        <v>0</v>
      </c>
      <c r="BQ39" s="177">
        <f t="shared" si="41"/>
        <v>0</v>
      </c>
      <c r="BR39" s="177">
        <f t="shared" si="41"/>
        <v>0</v>
      </c>
      <c r="BS39" s="177">
        <f t="shared" si="41"/>
        <v>0</v>
      </c>
      <c r="BT39" s="177">
        <f t="shared" si="41"/>
        <v>0</v>
      </c>
      <c r="BU39" s="177">
        <f t="shared" si="41"/>
        <v>0</v>
      </c>
      <c r="BV39" s="177">
        <f t="shared" si="41"/>
        <v>0</v>
      </c>
      <c r="BW39" s="177">
        <f t="shared" si="41"/>
        <v>0</v>
      </c>
      <c r="BX39" s="177">
        <f t="shared" si="41"/>
        <v>0</v>
      </c>
      <c r="BY39" s="177">
        <f t="shared" si="41"/>
        <v>0</v>
      </c>
      <c r="BZ39" s="177">
        <f t="shared" si="41"/>
        <v>0</v>
      </c>
      <c r="CA39" s="177">
        <f t="shared" si="41"/>
        <v>0</v>
      </c>
      <c r="CB39" s="177">
        <f t="shared" si="41"/>
        <v>0</v>
      </c>
      <c r="CC39" s="177">
        <f t="shared" si="41"/>
        <v>0</v>
      </c>
      <c r="CD39" s="177">
        <f t="shared" si="41"/>
        <v>0</v>
      </c>
      <c r="CE39" s="177">
        <f t="shared" si="41"/>
        <v>0</v>
      </c>
      <c r="CF39" s="177">
        <f t="shared" ref="CF39" si="42">SUM(CF37:CF38)</f>
        <v>782919</v>
      </c>
      <c r="CG39" s="177">
        <f t="shared" ref="CG39:CI39" si="43">SUM(CG37:CG38)</f>
        <v>612773.72999999986</v>
      </c>
      <c r="CH39" s="177">
        <f t="shared" si="43"/>
        <v>313167.59999999998</v>
      </c>
      <c r="CI39" s="177">
        <f t="shared" si="43"/>
        <v>245109.49199999997</v>
      </c>
    </row>
    <row r="40" spans="1:89" s="5" customFormat="1" ht="20.100000000000001" customHeight="1" x14ac:dyDescent="0.25">
      <c r="A40" s="155">
        <v>1</v>
      </c>
      <c r="B40" s="155" t="s">
        <v>12</v>
      </c>
      <c r="C40" s="156"/>
      <c r="D40" s="156">
        <f>D37/D39</f>
        <v>0.99238543055653028</v>
      </c>
      <c r="E40" s="157">
        <f t="shared" ref="E40:AI40" si="44">E37/E39</f>
        <v>0.99307835552731794</v>
      </c>
      <c r="F40" s="156">
        <f t="shared" si="44"/>
        <v>0.99257194431354379</v>
      </c>
      <c r="G40" s="157">
        <f t="shared" si="44"/>
        <v>0.99165087709132982</v>
      </c>
      <c r="H40" s="156">
        <f t="shared" si="44"/>
        <v>0.98664184466653604</v>
      </c>
      <c r="I40" s="157">
        <f t="shared" si="44"/>
        <v>0.98225836485242324</v>
      </c>
      <c r="J40" s="156">
        <f t="shared" si="44"/>
        <v>0.9873565640504971</v>
      </c>
      <c r="K40" s="157">
        <f t="shared" si="44"/>
        <v>0.98821044813378422</v>
      </c>
      <c r="L40" s="156">
        <f t="shared" si="44"/>
        <v>0.9654234593440848</v>
      </c>
      <c r="M40" s="157">
        <f t="shared" si="44"/>
        <v>0.96146065053838403</v>
      </c>
      <c r="N40" s="156">
        <f t="shared" si="44"/>
        <v>0.98737085968317573</v>
      </c>
      <c r="O40" s="157">
        <f t="shared" si="44"/>
        <v>0.98479868789787373</v>
      </c>
      <c r="P40" s="156">
        <f t="shared" si="44"/>
        <v>0.99185025160731144</v>
      </c>
      <c r="Q40" s="157">
        <f t="shared" si="44"/>
        <v>0.99266279425252224</v>
      </c>
      <c r="R40" s="156">
        <f t="shared" si="44"/>
        <v>0.99953107467635782</v>
      </c>
      <c r="S40" s="157">
        <f t="shared" si="44"/>
        <v>0.99954338041381541</v>
      </c>
      <c r="T40" s="156">
        <f t="shared" si="44"/>
        <v>0.98842708545647373</v>
      </c>
      <c r="U40" s="157">
        <f t="shared" si="44"/>
        <v>0.99014569165009403</v>
      </c>
      <c r="V40" s="156">
        <f t="shared" si="44"/>
        <v>0.96752625409659598</v>
      </c>
      <c r="W40" s="157">
        <f t="shared" si="44"/>
        <v>0.96390726852922859</v>
      </c>
      <c r="X40" s="156">
        <f t="shared" si="44"/>
        <v>0.97044919139182473</v>
      </c>
      <c r="Y40" s="157">
        <f t="shared" si="44"/>
        <v>0.97172314277826854</v>
      </c>
      <c r="Z40" s="156">
        <f t="shared" si="44"/>
        <v>0.96554057449124864</v>
      </c>
      <c r="AA40" s="157">
        <f t="shared" si="44"/>
        <v>0.96664481092057875</v>
      </c>
      <c r="AB40" s="156">
        <f t="shared" si="44"/>
        <v>0.98300559877388749</v>
      </c>
      <c r="AC40" s="157">
        <f t="shared" si="44"/>
        <v>0.98215024727380074</v>
      </c>
      <c r="AD40" s="156">
        <f t="shared" si="44"/>
        <v>0.98300559877388749</v>
      </c>
      <c r="AE40" s="157">
        <f t="shared" si="44"/>
        <v>0.98215024727380063</v>
      </c>
      <c r="AF40" s="156">
        <f t="shared" si="44"/>
        <v>0.99077951291998068</v>
      </c>
      <c r="AG40" s="157">
        <f t="shared" si="44"/>
        <v>0.99015653032599404</v>
      </c>
      <c r="AH40" s="156">
        <f t="shared" si="44"/>
        <v>0.98508825112229814</v>
      </c>
      <c r="AI40" s="157">
        <f t="shared" si="44"/>
        <v>0.98413023711903169</v>
      </c>
      <c r="AJ40" s="156">
        <f t="shared" ref="AJ40:BC40" si="45">AJ37/AJ39</f>
        <v>0.97847306668419498</v>
      </c>
      <c r="AK40" s="157">
        <f t="shared" si="45"/>
        <v>0.97587753898285345</v>
      </c>
      <c r="AL40" s="156">
        <f t="shared" si="45"/>
        <v>0.98651058283557624</v>
      </c>
      <c r="AM40" s="157">
        <f t="shared" si="45"/>
        <v>0.98472018185543841</v>
      </c>
      <c r="AN40" s="156">
        <f t="shared" si="45"/>
        <v>0.96177652118856849</v>
      </c>
      <c r="AO40" s="157">
        <f t="shared" si="45"/>
        <v>0.95910624181339044</v>
      </c>
      <c r="AP40" s="156">
        <f t="shared" si="45"/>
        <v>0.97648727196330398</v>
      </c>
      <c r="AQ40" s="157">
        <f t="shared" si="45"/>
        <v>0.97341955997551255</v>
      </c>
      <c r="AR40" s="156">
        <f t="shared" si="45"/>
        <v>0.96775143111244721</v>
      </c>
      <c r="AS40" s="157">
        <f t="shared" si="45"/>
        <v>0.96305179799850138</v>
      </c>
      <c r="AT40" s="156">
        <f t="shared" si="45"/>
        <v>0.96422145080122923</v>
      </c>
      <c r="AU40" s="157">
        <f t="shared" si="45"/>
        <v>0.95912782326654289</v>
      </c>
      <c r="AV40" s="156">
        <f>AV37/AV39</f>
        <v>0.97406223132432357</v>
      </c>
      <c r="AW40" s="157">
        <f t="shared" si="45"/>
        <v>0.97060911670122185</v>
      </c>
      <c r="AX40" s="156">
        <f t="shared" si="45"/>
        <v>0.95468389844801527</v>
      </c>
      <c r="AY40" s="157">
        <f t="shared" si="45"/>
        <v>0.94495572108178894</v>
      </c>
      <c r="AZ40" s="156">
        <f t="shared" si="45"/>
        <v>0.9595870248237991</v>
      </c>
      <c r="BA40" s="157">
        <f t="shared" si="45"/>
        <v>0.95365044779467134</v>
      </c>
      <c r="BB40" s="156">
        <f t="shared" si="45"/>
        <v>0.94169184191996058</v>
      </c>
      <c r="BC40" s="157">
        <f t="shared" si="45"/>
        <v>0.93529670729304704</v>
      </c>
      <c r="BD40" s="156">
        <f t="shared" ref="BD40:BI40" si="46">BD37/BD39</f>
        <v>0.96984166419073359</v>
      </c>
      <c r="BE40" s="157">
        <f t="shared" si="46"/>
        <v>0.96566395473034383</v>
      </c>
      <c r="BF40" s="180">
        <f t="shared" si="46"/>
        <v>0.96984166419073348</v>
      </c>
      <c r="BG40" s="180">
        <f t="shared" si="46"/>
        <v>0.96566395473034394</v>
      </c>
      <c r="BH40" s="180">
        <f t="shared" si="46"/>
        <v>0.88347622628896127</v>
      </c>
      <c r="BI40" s="180">
        <f t="shared" si="46"/>
        <v>0.87496194748378064</v>
      </c>
      <c r="BJ40" s="180">
        <f>BJ37/BJ39</f>
        <v>0.91353240130255786</v>
      </c>
      <c r="BK40" s="180">
        <f>BK37/BK39</f>
        <v>0.90629258276204461</v>
      </c>
      <c r="BL40" s="180">
        <f>BL37/BL39</f>
        <v>0.89043443099395991</v>
      </c>
      <c r="BM40" s="180">
        <f>BM37/BM39</f>
        <v>0.89228825664309841</v>
      </c>
      <c r="BN40" s="149" t="e">
        <f t="shared" ref="BN40:CI40" si="47">BN37/BN39</f>
        <v>#DIV/0!</v>
      </c>
      <c r="BO40" s="149" t="e">
        <f t="shared" si="47"/>
        <v>#DIV/0!</v>
      </c>
      <c r="BP40" s="149" t="e">
        <f t="shared" si="47"/>
        <v>#DIV/0!</v>
      </c>
      <c r="BQ40" s="149" t="e">
        <f t="shared" si="47"/>
        <v>#DIV/0!</v>
      </c>
      <c r="BR40" s="149" t="e">
        <f t="shared" si="47"/>
        <v>#DIV/0!</v>
      </c>
      <c r="BS40" s="149" t="e">
        <f t="shared" si="47"/>
        <v>#DIV/0!</v>
      </c>
      <c r="BT40" s="149" t="e">
        <f t="shared" si="47"/>
        <v>#DIV/0!</v>
      </c>
      <c r="BU40" s="149" t="e">
        <f t="shared" si="47"/>
        <v>#DIV/0!</v>
      </c>
      <c r="BV40" s="149" t="e">
        <f t="shared" si="47"/>
        <v>#DIV/0!</v>
      </c>
      <c r="BW40" s="149" t="e">
        <f t="shared" si="47"/>
        <v>#DIV/0!</v>
      </c>
      <c r="BX40" s="149" t="e">
        <f t="shared" si="47"/>
        <v>#DIV/0!</v>
      </c>
      <c r="BY40" s="149" t="e">
        <f t="shared" si="47"/>
        <v>#DIV/0!</v>
      </c>
      <c r="BZ40" s="149" t="e">
        <f t="shared" si="47"/>
        <v>#DIV/0!</v>
      </c>
      <c r="CA40" s="149" t="e">
        <f t="shared" si="47"/>
        <v>#DIV/0!</v>
      </c>
      <c r="CB40" s="149" t="e">
        <f t="shared" si="47"/>
        <v>#DIV/0!</v>
      </c>
      <c r="CC40" s="149" t="e">
        <f t="shared" si="47"/>
        <v>#DIV/0!</v>
      </c>
      <c r="CD40" s="149" t="e">
        <f t="shared" si="47"/>
        <v>#DIV/0!</v>
      </c>
      <c r="CE40" s="149" t="e">
        <f t="shared" si="47"/>
        <v>#DIV/0!</v>
      </c>
      <c r="CF40" s="180">
        <f t="shared" si="47"/>
        <v>0.89621020820800112</v>
      </c>
      <c r="CG40" s="180">
        <f t="shared" si="47"/>
        <v>0.89075150137392478</v>
      </c>
      <c r="CH40" s="180">
        <f t="shared" si="47"/>
        <v>0.89621020820800112</v>
      </c>
      <c r="CI40" s="180">
        <f t="shared" si="47"/>
        <v>0.89075150137392467</v>
      </c>
    </row>
    <row r="41" spans="1:89" s="5" customFormat="1" ht="20.100000000000001" customHeight="1" x14ac:dyDescent="0.25">
      <c r="A41" s="155">
        <v>2</v>
      </c>
      <c r="B41" s="155" t="s">
        <v>11</v>
      </c>
      <c r="C41" s="156"/>
      <c r="D41" s="156">
        <f t="shared" ref="D41:AI41" si="48">D38/D39</f>
        <v>7.6145694434697174E-3</v>
      </c>
      <c r="E41" s="157">
        <f t="shared" si="48"/>
        <v>6.9216444726821324E-3</v>
      </c>
      <c r="F41" s="156">
        <f t="shared" si="48"/>
        <v>7.4280556864561786E-3</v>
      </c>
      <c r="G41" s="157">
        <f t="shared" si="48"/>
        <v>8.349122908670176E-3</v>
      </c>
      <c r="H41" s="156">
        <f t="shared" si="48"/>
        <v>1.3358155333463975E-2</v>
      </c>
      <c r="I41" s="157">
        <f t="shared" si="48"/>
        <v>1.7741635147576713E-2</v>
      </c>
      <c r="J41" s="156">
        <f t="shared" si="48"/>
        <v>1.2643435949502882E-2</v>
      </c>
      <c r="K41" s="157">
        <f t="shared" si="48"/>
        <v>1.1789551866215747E-2</v>
      </c>
      <c r="L41" s="156">
        <f t="shared" si="48"/>
        <v>3.4576540655915221E-2</v>
      </c>
      <c r="M41" s="157">
        <f t="shared" si="48"/>
        <v>3.8539349461615885E-2</v>
      </c>
      <c r="N41" s="156">
        <f t="shared" si="48"/>
        <v>1.2629140316824244E-2</v>
      </c>
      <c r="O41" s="157">
        <f t="shared" si="48"/>
        <v>1.5201312102126316E-2</v>
      </c>
      <c r="P41" s="156">
        <f t="shared" si="48"/>
        <v>8.149748392688512E-3</v>
      </c>
      <c r="Q41" s="157">
        <f t="shared" si="48"/>
        <v>7.3372057474778351E-3</v>
      </c>
      <c r="R41" s="156">
        <f t="shared" si="48"/>
        <v>4.6892532364220996E-4</v>
      </c>
      <c r="S41" s="157">
        <f t="shared" si="48"/>
        <v>4.5661958618461719E-4</v>
      </c>
      <c r="T41" s="156">
        <f t="shared" si="48"/>
        <v>1.157291454352625E-2</v>
      </c>
      <c r="U41" s="157">
        <f t="shared" si="48"/>
        <v>9.854308349905987E-3</v>
      </c>
      <c r="V41" s="156">
        <f t="shared" si="48"/>
        <v>3.2473745903404065E-2</v>
      </c>
      <c r="W41" s="157">
        <f t="shared" si="48"/>
        <v>3.6092731470771376E-2</v>
      </c>
      <c r="X41" s="156">
        <f t="shared" si="48"/>
        <v>2.955080860817522E-2</v>
      </c>
      <c r="Y41" s="157">
        <f t="shared" si="48"/>
        <v>2.8276857221731476E-2</v>
      </c>
      <c r="Z41" s="156">
        <f t="shared" si="48"/>
        <v>3.4459425508751362E-2</v>
      </c>
      <c r="AA41" s="157">
        <f t="shared" si="48"/>
        <v>3.3355189079421275E-2</v>
      </c>
      <c r="AB41" s="156">
        <f t="shared" si="48"/>
        <v>1.69944012261125E-2</v>
      </c>
      <c r="AC41" s="157">
        <f t="shared" si="48"/>
        <v>1.7849752726199347E-2</v>
      </c>
      <c r="AD41" s="156">
        <f t="shared" si="48"/>
        <v>1.6994401226112493E-2</v>
      </c>
      <c r="AE41" s="157">
        <f t="shared" si="48"/>
        <v>1.7849752726199351E-2</v>
      </c>
      <c r="AF41" s="156">
        <f t="shared" si="48"/>
        <v>9.2204870800193101E-3</v>
      </c>
      <c r="AG41" s="157">
        <f t="shared" si="48"/>
        <v>9.8434696740059679E-3</v>
      </c>
      <c r="AH41" s="156">
        <f t="shared" si="48"/>
        <v>1.491174887770186E-2</v>
      </c>
      <c r="AI41" s="157">
        <f t="shared" si="48"/>
        <v>1.5869762880968346E-2</v>
      </c>
      <c r="AJ41" s="156">
        <f t="shared" ref="AJ41:BG41" si="49">AJ38/AJ39</f>
        <v>2.152693331580504E-2</v>
      </c>
      <c r="AK41" s="157">
        <f t="shared" si="49"/>
        <v>2.4122461017146629E-2</v>
      </c>
      <c r="AL41" s="156">
        <f t="shared" si="49"/>
        <v>1.3489417164423761E-2</v>
      </c>
      <c r="AM41" s="157">
        <f t="shared" si="49"/>
        <v>1.5279818144561563E-2</v>
      </c>
      <c r="AN41" s="156">
        <f t="shared" si="49"/>
        <v>3.8223478811431566E-2</v>
      </c>
      <c r="AO41" s="157">
        <f t="shared" si="49"/>
        <v>4.0893758186609612E-2</v>
      </c>
      <c r="AP41" s="156">
        <f t="shared" si="49"/>
        <v>2.3512728036695962E-2</v>
      </c>
      <c r="AQ41" s="157">
        <f t="shared" si="49"/>
        <v>2.6580440024487451E-2</v>
      </c>
      <c r="AR41" s="156">
        <f t="shared" si="49"/>
        <v>3.2248568887552766E-2</v>
      </c>
      <c r="AS41" s="157">
        <f t="shared" si="49"/>
        <v>3.694820200149871E-2</v>
      </c>
      <c r="AT41" s="156">
        <f>AT38/AT39</f>
        <v>3.5778549198770805E-2</v>
      </c>
      <c r="AU41" s="157">
        <f>AU38/AU39</f>
        <v>4.0872176733457111E-2</v>
      </c>
      <c r="AV41" s="156">
        <f>AV38/AV39</f>
        <v>2.5937768675676459E-2</v>
      </c>
      <c r="AW41" s="157">
        <f>AW38/AW39</f>
        <v>2.9390883298778141E-2</v>
      </c>
      <c r="AX41" s="156">
        <f t="shared" si="49"/>
        <v>4.5316101551984705E-2</v>
      </c>
      <c r="AY41" s="157">
        <f t="shared" si="49"/>
        <v>5.5044278918211065E-2</v>
      </c>
      <c r="AZ41" s="156">
        <f t="shared" si="49"/>
        <v>4.0412975176200856E-2</v>
      </c>
      <c r="BA41" s="157">
        <f t="shared" si="49"/>
        <v>4.6349552205328673E-2</v>
      </c>
      <c r="BB41" s="156">
        <f t="shared" si="49"/>
        <v>5.830815808003946E-2</v>
      </c>
      <c r="BC41" s="157">
        <f t="shared" si="49"/>
        <v>6.4703292706952964E-2</v>
      </c>
      <c r="BD41" s="156">
        <f>BD38/BD39</f>
        <v>3.0158335809266416E-2</v>
      </c>
      <c r="BE41" s="157">
        <f t="shared" si="49"/>
        <v>3.4336045269656099E-2</v>
      </c>
      <c r="BF41" s="157">
        <f t="shared" si="49"/>
        <v>3.0158335809266419E-2</v>
      </c>
      <c r="BG41" s="157">
        <f t="shared" si="49"/>
        <v>3.4336045269656092E-2</v>
      </c>
      <c r="BH41" s="180">
        <f>BH38/BH39</f>
        <v>0.11652377371103868</v>
      </c>
      <c r="BI41" s="180">
        <f>BI38/BI39</f>
        <v>0.1250380525162193</v>
      </c>
      <c r="BJ41" s="180">
        <f>BJ38/BJ39</f>
        <v>8.6467598697442097E-2</v>
      </c>
      <c r="BK41" s="180">
        <f>BK38/BK39</f>
        <v>9.3707417237955448E-2</v>
      </c>
      <c r="BL41" s="180">
        <f>BL38/BL39</f>
        <v>0.10956556900604009</v>
      </c>
      <c r="BM41" s="180">
        <f t="shared" ref="BM41" si="50">BM38/BM39</f>
        <v>0.10771174335690163</v>
      </c>
      <c r="BN41" s="149" t="e">
        <f t="shared" ref="BN41:CI41" si="51">BN38/BN39</f>
        <v>#DIV/0!</v>
      </c>
      <c r="BO41" s="149" t="e">
        <f t="shared" si="51"/>
        <v>#DIV/0!</v>
      </c>
      <c r="BP41" s="149" t="e">
        <f t="shared" si="51"/>
        <v>#DIV/0!</v>
      </c>
      <c r="BQ41" s="149" t="e">
        <f t="shared" si="51"/>
        <v>#DIV/0!</v>
      </c>
      <c r="BR41" s="149" t="e">
        <f t="shared" si="51"/>
        <v>#DIV/0!</v>
      </c>
      <c r="BS41" s="149" t="e">
        <f t="shared" si="51"/>
        <v>#DIV/0!</v>
      </c>
      <c r="BT41" s="149" t="e">
        <f t="shared" si="51"/>
        <v>#DIV/0!</v>
      </c>
      <c r="BU41" s="149" t="e">
        <f t="shared" si="51"/>
        <v>#DIV/0!</v>
      </c>
      <c r="BV41" s="149" t="e">
        <f t="shared" si="51"/>
        <v>#DIV/0!</v>
      </c>
      <c r="BW41" s="149" t="e">
        <f t="shared" si="51"/>
        <v>#DIV/0!</v>
      </c>
      <c r="BX41" s="149" t="e">
        <f t="shared" si="51"/>
        <v>#DIV/0!</v>
      </c>
      <c r="BY41" s="149" t="e">
        <f t="shared" si="51"/>
        <v>#DIV/0!</v>
      </c>
      <c r="BZ41" s="149" t="e">
        <f t="shared" si="51"/>
        <v>#DIV/0!</v>
      </c>
      <c r="CA41" s="149" t="e">
        <f t="shared" si="51"/>
        <v>#DIV/0!</v>
      </c>
      <c r="CB41" s="149" t="e">
        <f t="shared" si="51"/>
        <v>#DIV/0!</v>
      </c>
      <c r="CC41" s="149" t="e">
        <f t="shared" si="51"/>
        <v>#DIV/0!</v>
      </c>
      <c r="CD41" s="149" t="e">
        <f t="shared" si="51"/>
        <v>#DIV/0!</v>
      </c>
      <c r="CE41" s="149" t="e">
        <f t="shared" si="51"/>
        <v>#DIV/0!</v>
      </c>
      <c r="CF41" s="180">
        <f t="shared" si="51"/>
        <v>0.10378979179199892</v>
      </c>
      <c r="CG41" s="180">
        <f t="shared" si="51"/>
        <v>0.10924849862607526</v>
      </c>
      <c r="CH41" s="180">
        <f t="shared" si="51"/>
        <v>0.10378979179199892</v>
      </c>
      <c r="CI41" s="180">
        <f t="shared" si="51"/>
        <v>0.10924849862607526</v>
      </c>
    </row>
    <row r="43" spans="1:89" ht="23.1" customHeight="1" x14ac:dyDescent="0.25">
      <c r="M43" s="165"/>
      <c r="AF43" s="4"/>
      <c r="AG43" s="158"/>
      <c r="AH43" s="4"/>
      <c r="AI43" s="158"/>
      <c r="AJ43" s="4"/>
      <c r="AK43" s="158"/>
      <c r="AL43" s="4"/>
      <c r="AM43" s="158"/>
      <c r="AN43" s="4"/>
      <c r="AO43" s="158"/>
      <c r="AP43" s="4"/>
      <c r="AQ43" s="158"/>
      <c r="AR43" s="4"/>
      <c r="AS43" s="158"/>
      <c r="AT43" s="4"/>
      <c r="AU43" s="158"/>
      <c r="AV43" s="4"/>
      <c r="AW43" s="158"/>
      <c r="AX43" s="4"/>
      <c r="AY43" s="158"/>
      <c r="AZ43" s="4"/>
      <c r="BA43" s="158"/>
      <c r="BB43" s="4"/>
      <c r="BC43" s="158"/>
    </row>
    <row r="44" spans="1:89" ht="23.1" customHeight="1" x14ac:dyDescent="0.25">
      <c r="AF44" s="4"/>
      <c r="AG44" s="158"/>
      <c r="AH44" s="4"/>
      <c r="AI44" s="158"/>
      <c r="AJ44" s="4"/>
      <c r="AK44" s="158"/>
      <c r="AL44" s="4"/>
      <c r="AM44" s="158"/>
      <c r="AN44" s="4"/>
      <c r="AO44" s="158"/>
      <c r="AP44" s="4"/>
      <c r="AQ44" s="158"/>
      <c r="AR44" s="4"/>
      <c r="AS44" s="158"/>
      <c r="AT44" s="4"/>
      <c r="AU44" s="158"/>
      <c r="AV44" s="4"/>
      <c r="AW44" s="158"/>
      <c r="AX44" s="4"/>
      <c r="AY44" s="158"/>
      <c r="AZ44" s="4"/>
      <c r="BA44" s="158"/>
      <c r="BB44" s="4"/>
      <c r="BC44" s="158"/>
      <c r="CK44" s="36"/>
    </row>
    <row r="49" spans="2:2" ht="23.1" customHeight="1" x14ac:dyDescent="0.25">
      <c r="B49" s="3"/>
    </row>
  </sheetData>
  <mergeCells count="144">
    <mergeCell ref="CK35:CK36"/>
    <mergeCell ref="A39:B39"/>
    <mergeCell ref="AT35:AU35"/>
    <mergeCell ref="AV35:AW35"/>
    <mergeCell ref="AX35:AY35"/>
    <mergeCell ref="AZ35:BA35"/>
    <mergeCell ref="BB35:BC35"/>
    <mergeCell ref="BD35:BE35"/>
    <mergeCell ref="AH35:AI35"/>
    <mergeCell ref="AJ35:AK35"/>
    <mergeCell ref="AL35:AM35"/>
    <mergeCell ref="AN35:AO35"/>
    <mergeCell ref="AP35:AQ35"/>
    <mergeCell ref="AR35:AS35"/>
    <mergeCell ref="F35:G35"/>
    <mergeCell ref="BF35:BG35"/>
    <mergeCell ref="CH35:CI35"/>
    <mergeCell ref="A35:A36"/>
    <mergeCell ref="B35:B36"/>
    <mergeCell ref="C35:C36"/>
    <mergeCell ref="D35:E35"/>
    <mergeCell ref="H35:I35"/>
    <mergeCell ref="AF35:AG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T18:AU18"/>
    <mergeCell ref="AV18:AW18"/>
    <mergeCell ref="AX18:AY18"/>
    <mergeCell ref="AZ18:BA18"/>
    <mergeCell ref="BB18:BC18"/>
    <mergeCell ref="BD18:BE18"/>
    <mergeCell ref="CJ18:CJ19"/>
    <mergeCell ref="BN35:BO35"/>
    <mergeCell ref="BP35:BQ35"/>
    <mergeCell ref="CB35:CC35"/>
    <mergeCell ref="CD35:CE35"/>
    <mergeCell ref="CJ35:CJ36"/>
    <mergeCell ref="BH35:BI35"/>
    <mergeCell ref="BJ35:BK35"/>
    <mergeCell ref="BL35:BM35"/>
    <mergeCell ref="CK18:CK19"/>
    <mergeCell ref="A34:C34"/>
    <mergeCell ref="BF18:BG18"/>
    <mergeCell ref="CH18:CI18"/>
    <mergeCell ref="V18:W18"/>
    <mergeCell ref="X18:Y18"/>
    <mergeCell ref="AF18:AG18"/>
    <mergeCell ref="AH18:AI18"/>
    <mergeCell ref="AJ18:AK18"/>
    <mergeCell ref="AL18:AM18"/>
    <mergeCell ref="AN18:AO18"/>
    <mergeCell ref="AP18:AQ18"/>
    <mergeCell ref="AR18:AS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CK2:CK3"/>
    <mergeCell ref="A18:A19"/>
    <mergeCell ref="B18:B19"/>
    <mergeCell ref="C18:C19"/>
    <mergeCell ref="D18:E18"/>
    <mergeCell ref="F18:G18"/>
    <mergeCell ref="AX2:AY2"/>
    <mergeCell ref="AB2:AC2"/>
    <mergeCell ref="AD2:AE2"/>
    <mergeCell ref="AF2:AG2"/>
    <mergeCell ref="Z18:AA18"/>
    <mergeCell ref="AB18:AC18"/>
    <mergeCell ref="AZ2:BA2"/>
    <mergeCell ref="BB2:BC2"/>
    <mergeCell ref="BD2:BE2"/>
    <mergeCell ref="CJ2:CJ3"/>
    <mergeCell ref="AD18:AE18"/>
    <mergeCell ref="H18:I18"/>
    <mergeCell ref="J18:K18"/>
    <mergeCell ref="L18:M18"/>
    <mergeCell ref="N18:O18"/>
    <mergeCell ref="P18:Q18"/>
    <mergeCell ref="R18:S18"/>
    <mergeCell ref="T18:U18"/>
    <mergeCell ref="A1:CJ1"/>
    <mergeCell ref="A2:A3"/>
    <mergeCell ref="B2:B3"/>
    <mergeCell ref="C2:C3"/>
    <mergeCell ref="D2:E2"/>
    <mergeCell ref="AH2:AI2"/>
    <mergeCell ref="AJ2:AK2"/>
    <mergeCell ref="AL2:AM2"/>
    <mergeCell ref="AN2:AO2"/>
    <mergeCell ref="AP2:AQ2"/>
    <mergeCell ref="AR2:AS2"/>
    <mergeCell ref="AT2:AU2"/>
    <mergeCell ref="AV2:AW2"/>
    <mergeCell ref="Z2:AA2"/>
    <mergeCell ref="R2:S2"/>
    <mergeCell ref="T2:U2"/>
    <mergeCell ref="BF2:BG2"/>
    <mergeCell ref="CH2:CI2"/>
    <mergeCell ref="BH2:BI2"/>
    <mergeCell ref="BJ2:BK2"/>
    <mergeCell ref="BL2:BM2"/>
    <mergeCell ref="BP2:BQ2"/>
    <mergeCell ref="BR2:BS2"/>
    <mergeCell ref="BT2:BU2"/>
    <mergeCell ref="F2:G2"/>
    <mergeCell ref="H2:I2"/>
    <mergeCell ref="J2:K2"/>
    <mergeCell ref="L2:M2"/>
    <mergeCell ref="N2:O2"/>
    <mergeCell ref="P2:Q2"/>
    <mergeCell ref="BN2:BO2"/>
    <mergeCell ref="V2:W2"/>
    <mergeCell ref="X2:Y2"/>
    <mergeCell ref="CF2:CG2"/>
    <mergeCell ref="CF18:CG18"/>
    <mergeCell ref="CF35:CG35"/>
    <mergeCell ref="BR35:BS35"/>
    <mergeCell ref="BT35:BU35"/>
    <mergeCell ref="BV35:BW35"/>
    <mergeCell ref="BX35:BY35"/>
    <mergeCell ref="BZ35:CA35"/>
    <mergeCell ref="BX2:BY2"/>
    <mergeCell ref="BZ2:CA2"/>
    <mergeCell ref="CB2:CC2"/>
    <mergeCell ref="CD2:CE2"/>
    <mergeCell ref="BZ18:CA18"/>
    <mergeCell ref="CB18:CC18"/>
    <mergeCell ref="CD18:CE18"/>
    <mergeCell ref="BV2:BW2"/>
  </mergeCells>
  <hyperlinks>
    <hyperlink ref="B4" location="'4-MawLaMyaing'!A1" display="Maw La Myaing" xr:uid="{08962FCC-5EF2-4513-9CC3-69C76BA9DA12}"/>
    <hyperlink ref="B5" location="'4-Hpa-An'!A1" display="Hpa-an" xr:uid="{23E62466-9FCD-41BA-9805-661DB2152160}"/>
    <hyperlink ref="B7" location="'4-Mu Don'!A1" display="Mudon" xr:uid="{CF4B77E1-CF8A-40D8-AB88-151F8454BC8E}"/>
    <hyperlink ref="B8" location="'4-ThaHtone'!A1" display="ThaHtone" xr:uid="{65A45704-0A54-49CB-85B8-933E9E9D2366}"/>
    <hyperlink ref="B9" location="'4-KawKariek'!A1" display="KawKareik" xr:uid="{306EF354-0BC6-42A5-A2C4-EE416B75A58F}"/>
    <hyperlink ref="B10" location="'4-Yaye'!A1" display="Yay" xr:uid="{777C4774-68C6-440D-9D21-791B7BC4D597}"/>
    <hyperlink ref="B11" location="'4-Phar Pon'!A1" display="Phar Pun" xr:uid="{E127BEBE-03A3-44A0-B2D1-CAB0240D1F09}"/>
    <hyperlink ref="B12" location="'4-Bagoda-3'!A1" display="Bagoda-3" xr:uid="{9EB53403-5621-4F87-B0E7-F4D4996C033F}"/>
    <hyperlink ref="B13" location="'4-Chang Sone'!A1" display="Chang Sone" xr:uid="{3DD8D00A-F716-4916-AF15-057DB540A3CC}"/>
    <hyperlink ref="B14" location="'4-Than Phyu Zayat'!A1" display="Than Phyu ZaYat" xr:uid="{11251636-6B58-4F23-ACDA-F169BC5D8C8E}"/>
    <hyperlink ref="B6" location="'4-Paung'!A1" display="Paung" xr:uid="{05A1DD29-D174-4320-86A9-3DA8FED0185F}"/>
    <hyperlink ref="B15" location="'Thein ZatYat'!A1" display="Thein ZatYat" xr:uid="{4D25EFE4-E333-4046-A689-D24990F2C09B}"/>
  </hyperlinks>
  <printOptions horizontalCentered="1"/>
  <pageMargins left="0.7" right="0.7" top="0.75" bottom="0.75" header="0.3" footer="0.3"/>
  <pageSetup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F68E-EE47-4B60-8763-6E9413708340}">
  <dimension ref="A1:AK59"/>
  <sheetViews>
    <sheetView zoomScaleNormal="100" workbookViewId="0">
      <pane xSplit="2" ySplit="3" topLeftCell="C4" activePane="bottomRight" state="frozen"/>
      <selection activeCell="B15" sqref="B15"/>
      <selection pane="topRight" activeCell="B15" sqref="B15"/>
      <selection pane="bottomLeft" activeCell="B15" sqref="B15"/>
      <selection pane="bottomRight" activeCell="F15" sqref="F15"/>
    </sheetView>
  </sheetViews>
  <sheetFormatPr defaultColWidth="8" defaultRowHeight="23.1" customHeight="1" x14ac:dyDescent="0.25"/>
  <cols>
    <col min="1" max="1" width="4.140625" style="2" bestFit="1" customWidth="1"/>
    <col min="2" max="2" width="29.28515625" style="2" bestFit="1" customWidth="1"/>
    <col min="3" max="3" width="7.42578125" style="2" customWidth="1"/>
    <col min="4" max="5" width="8.28515625" style="2" bestFit="1" customWidth="1"/>
    <col min="6" max="21" width="10.7109375" style="2" customWidth="1"/>
    <col min="22" max="23" width="11.140625" style="2" customWidth="1"/>
    <col min="24" max="29" width="10.7109375" style="2" customWidth="1"/>
    <col min="30" max="30" width="11.7109375" style="2" customWidth="1"/>
    <col min="31" max="31" width="11.5703125" style="2" customWidth="1"/>
    <col min="32" max="32" width="11" style="2" customWidth="1"/>
    <col min="33" max="33" width="18.28515625" style="2" customWidth="1"/>
    <col min="34" max="34" width="13.85546875" style="2" customWidth="1"/>
    <col min="35" max="16384" width="8" style="2"/>
  </cols>
  <sheetData>
    <row r="1" spans="1:37" ht="23.1" customHeight="1" thickBot="1" x14ac:dyDescent="0.3">
      <c r="L1" s="36"/>
      <c r="M1" s="36"/>
    </row>
    <row r="2" spans="1:37" ht="30" customHeight="1" x14ac:dyDescent="0.25">
      <c r="A2" s="206" t="s">
        <v>46</v>
      </c>
      <c r="B2" s="206" t="s">
        <v>45</v>
      </c>
      <c r="C2" s="207" t="s">
        <v>44</v>
      </c>
      <c r="D2" s="219" t="s">
        <v>116</v>
      </c>
      <c r="E2" s="220"/>
      <c r="F2" s="209" t="s">
        <v>101</v>
      </c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1"/>
      <c r="AG2" s="212" t="s">
        <v>115</v>
      </c>
      <c r="AH2" s="204" t="s">
        <v>43</v>
      </c>
    </row>
    <row r="3" spans="1:37" ht="30" customHeight="1" x14ac:dyDescent="0.25">
      <c r="A3" s="206"/>
      <c r="B3" s="206"/>
      <c r="C3" s="208"/>
      <c r="D3" s="221"/>
      <c r="E3" s="222"/>
      <c r="F3" s="218" t="s">
        <v>19</v>
      </c>
      <c r="G3" s="217"/>
      <c r="H3" s="216" t="s">
        <v>58</v>
      </c>
      <c r="I3" s="217"/>
      <c r="J3" s="216" t="s">
        <v>59</v>
      </c>
      <c r="K3" s="217"/>
      <c r="L3" s="216" t="s">
        <v>60</v>
      </c>
      <c r="M3" s="217"/>
      <c r="N3" s="216" t="s">
        <v>61</v>
      </c>
      <c r="O3" s="217"/>
      <c r="P3" s="216" t="s">
        <v>62</v>
      </c>
      <c r="Q3" s="217"/>
      <c r="R3" s="216" t="s">
        <v>63</v>
      </c>
      <c r="S3" s="217"/>
      <c r="T3" s="216" t="s">
        <v>64</v>
      </c>
      <c r="U3" s="217"/>
      <c r="V3" s="216" t="s">
        <v>65</v>
      </c>
      <c r="W3" s="217"/>
      <c r="X3" s="216" t="s">
        <v>18</v>
      </c>
      <c r="Y3" s="217"/>
      <c r="Z3" s="216" t="s">
        <v>17</v>
      </c>
      <c r="AA3" s="217"/>
      <c r="AB3" s="216" t="s">
        <v>16</v>
      </c>
      <c r="AC3" s="217"/>
      <c r="AD3" s="198" t="s">
        <v>55</v>
      </c>
      <c r="AE3" s="199"/>
      <c r="AF3" s="62" t="s">
        <v>42</v>
      </c>
      <c r="AG3" s="213"/>
      <c r="AH3" s="205"/>
    </row>
    <row r="4" spans="1:37" ht="30" customHeight="1" x14ac:dyDescent="0.25">
      <c r="A4" s="60"/>
      <c r="B4" s="60"/>
      <c r="C4" s="61"/>
      <c r="D4" s="61" t="s">
        <v>56</v>
      </c>
      <c r="E4" s="61" t="s">
        <v>93</v>
      </c>
      <c r="F4" s="65" t="s">
        <v>56</v>
      </c>
      <c r="G4" s="65" t="s">
        <v>93</v>
      </c>
      <c r="H4" s="65" t="s">
        <v>56</v>
      </c>
      <c r="I4" s="65" t="s">
        <v>93</v>
      </c>
      <c r="J4" s="65" t="s">
        <v>56</v>
      </c>
      <c r="K4" s="65" t="s">
        <v>93</v>
      </c>
      <c r="L4" s="65" t="s">
        <v>56</v>
      </c>
      <c r="M4" s="65" t="s">
        <v>93</v>
      </c>
      <c r="N4" s="65" t="s">
        <v>56</v>
      </c>
      <c r="O4" s="65" t="s">
        <v>93</v>
      </c>
      <c r="P4" s="65" t="s">
        <v>56</v>
      </c>
      <c r="Q4" s="65" t="s">
        <v>93</v>
      </c>
      <c r="R4" s="65" t="s">
        <v>56</v>
      </c>
      <c r="S4" s="65" t="s">
        <v>93</v>
      </c>
      <c r="T4" s="65" t="s">
        <v>56</v>
      </c>
      <c r="U4" s="65" t="s">
        <v>93</v>
      </c>
      <c r="V4" s="65" t="s">
        <v>56</v>
      </c>
      <c r="W4" s="65" t="s">
        <v>93</v>
      </c>
      <c r="X4" s="65" t="s">
        <v>56</v>
      </c>
      <c r="Y4" s="65" t="s">
        <v>93</v>
      </c>
      <c r="Z4" s="65" t="s">
        <v>56</v>
      </c>
      <c r="AA4" s="65" t="s">
        <v>93</v>
      </c>
      <c r="AB4" s="65" t="s">
        <v>56</v>
      </c>
      <c r="AC4" s="65" t="s">
        <v>93</v>
      </c>
      <c r="AD4" s="65" t="s">
        <v>56</v>
      </c>
      <c r="AE4" s="65" t="s">
        <v>93</v>
      </c>
      <c r="AF4" s="62"/>
      <c r="AG4" s="63"/>
      <c r="AH4" s="64"/>
    </row>
    <row r="5" spans="1:37" s="35" customFormat="1" ht="20.100000000000001" customHeight="1" x14ac:dyDescent="0.5">
      <c r="A5" s="34">
        <v>1</v>
      </c>
      <c r="B5" s="47" t="s">
        <v>41</v>
      </c>
      <c r="C5" s="28"/>
      <c r="D5" s="86">
        <v>63709</v>
      </c>
      <c r="E5" s="86">
        <v>40522</v>
      </c>
      <c r="F5" s="95">
        <v>72061</v>
      </c>
      <c r="G5" s="95">
        <v>53802.459999999977</v>
      </c>
      <c r="H5" s="95">
        <v>73600</v>
      </c>
      <c r="I5" s="95">
        <v>54732.039999999986</v>
      </c>
      <c r="J5" s="95">
        <v>87386</v>
      </c>
      <c r="K5" s="95">
        <v>62489.119999999995</v>
      </c>
      <c r="L5" s="95">
        <v>57052</v>
      </c>
      <c r="M5" s="95">
        <v>40867.840000000004</v>
      </c>
      <c r="N5" s="95">
        <v>94218</v>
      </c>
      <c r="O5" s="95">
        <v>73311.360000000001</v>
      </c>
      <c r="P5" s="29">
        <v>40456</v>
      </c>
      <c r="Q5" s="29">
        <v>32318.800000000003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>
        <f>+F5+H5+J5+L5+N5+P5+R5+T5+V5+X5+Z5+AB5</f>
        <v>424773</v>
      </c>
      <c r="AE5" s="29">
        <f>+G5+I5+K5+M5+O5+Q5+S5+U5+W5+Y5+AA5+AC5</f>
        <v>317521.61999999994</v>
      </c>
      <c r="AF5" s="33">
        <f>AD5/6</f>
        <v>70795.5</v>
      </c>
      <c r="AG5" s="32">
        <f>AF5/$AF$22%</f>
        <v>25.327389842999562</v>
      </c>
      <c r="AH5" s="25">
        <v>2</v>
      </c>
      <c r="AI5" s="114"/>
    </row>
    <row r="6" spans="1:37" s="35" customFormat="1" ht="20.100000000000001" customHeight="1" x14ac:dyDescent="0.5">
      <c r="A6" s="34">
        <v>2</v>
      </c>
      <c r="B6" s="47" t="s">
        <v>39</v>
      </c>
      <c r="C6" s="28"/>
      <c r="D6" s="86">
        <v>16330</v>
      </c>
      <c r="E6" s="86">
        <v>11066</v>
      </c>
      <c r="F6" s="95">
        <v>16350</v>
      </c>
      <c r="G6" s="95">
        <v>12450</v>
      </c>
      <c r="H6" s="95">
        <v>10260</v>
      </c>
      <c r="I6" s="95">
        <v>7560</v>
      </c>
      <c r="J6" s="95">
        <v>27620</v>
      </c>
      <c r="K6" s="95">
        <v>20108.400000000001</v>
      </c>
      <c r="L6" s="95">
        <v>8860</v>
      </c>
      <c r="M6" s="95">
        <v>6145.6</v>
      </c>
      <c r="N6" s="95">
        <v>12154</v>
      </c>
      <c r="O6" s="95">
        <v>8842.56</v>
      </c>
      <c r="P6" s="29">
        <v>16344</v>
      </c>
      <c r="Q6" s="29">
        <v>12015.6</v>
      </c>
      <c r="R6" s="29"/>
      <c r="S6" s="29"/>
      <c r="T6" s="29"/>
      <c r="U6" s="29"/>
      <c r="V6" s="29"/>
      <c r="W6" s="29"/>
      <c r="X6" s="28"/>
      <c r="Y6" s="28"/>
      <c r="Z6" s="28"/>
      <c r="AA6" s="28"/>
      <c r="AB6" s="28"/>
      <c r="AC6" s="28"/>
      <c r="AD6" s="29">
        <f t="shared" ref="AD6:AD15" si="0">+F6+H6+J6+L6+N6+P6+R6+T6+V6+X6+Z6+AB6</f>
        <v>91588</v>
      </c>
      <c r="AE6" s="29">
        <f t="shared" ref="AE6:AE15" si="1">+G6+I6+K6+M6+O6+Q6+S6+U6+W6+Y6+AA6+AC6</f>
        <v>67122.16</v>
      </c>
      <c r="AF6" s="33">
        <f t="shared" ref="AF6:AF15" si="2">AD6/6</f>
        <v>15264.666666666666</v>
      </c>
      <c r="AG6" s="32">
        <f>AF6/$AF$22%</f>
        <v>5.4609991240983859</v>
      </c>
      <c r="AH6" s="25">
        <v>3</v>
      </c>
      <c r="AI6" s="114"/>
    </row>
    <row r="7" spans="1:37" ht="20.25" customHeight="1" x14ac:dyDescent="0.5">
      <c r="A7" s="34">
        <v>3</v>
      </c>
      <c r="B7" s="55" t="s">
        <v>38</v>
      </c>
      <c r="C7" s="28"/>
      <c r="D7" s="86">
        <v>4617</v>
      </c>
      <c r="E7" s="86">
        <v>3022</v>
      </c>
      <c r="F7" s="95">
        <v>5476</v>
      </c>
      <c r="G7" s="95">
        <v>3571.599999999999</v>
      </c>
      <c r="H7" s="95">
        <v>5740</v>
      </c>
      <c r="I7" s="95">
        <v>3738.3999999999996</v>
      </c>
      <c r="J7" s="95">
        <v>5880</v>
      </c>
      <c r="K7" s="95">
        <v>3835.2</v>
      </c>
      <c r="L7" s="95">
        <v>4766</v>
      </c>
      <c r="M7" s="95">
        <v>3052.3999999999996</v>
      </c>
      <c r="N7" s="95">
        <v>5836</v>
      </c>
      <c r="O7" s="95">
        <v>3798.4</v>
      </c>
      <c r="P7" s="29">
        <v>3056</v>
      </c>
      <c r="Q7" s="29">
        <v>1957.9999999999998</v>
      </c>
      <c r="R7" s="29"/>
      <c r="S7" s="29"/>
      <c r="T7" s="29"/>
      <c r="U7" s="29"/>
      <c r="V7" s="29"/>
      <c r="W7" s="29"/>
      <c r="X7" s="28"/>
      <c r="Y7" s="28"/>
      <c r="Z7" s="28"/>
      <c r="AA7" s="28"/>
      <c r="AB7" s="28"/>
      <c r="AC7" s="28"/>
      <c r="AD7" s="29">
        <f t="shared" si="0"/>
        <v>30754</v>
      </c>
      <c r="AE7" s="29">
        <f t="shared" si="1"/>
        <v>19953.999999999996</v>
      </c>
      <c r="AF7" s="33">
        <f t="shared" si="2"/>
        <v>5125.666666666667</v>
      </c>
      <c r="AG7" s="32">
        <f>AF7/$AF$22%</f>
        <v>1.8337289498899614</v>
      </c>
      <c r="AH7" s="25">
        <v>5</v>
      </c>
      <c r="AI7" s="114"/>
    </row>
    <row r="8" spans="1:37" ht="20.100000000000001" customHeight="1" x14ac:dyDescent="0.5">
      <c r="A8" s="34">
        <v>4</v>
      </c>
      <c r="B8" s="47" t="s">
        <v>36</v>
      </c>
      <c r="C8" s="28"/>
      <c r="D8" s="86">
        <v>12859</v>
      </c>
      <c r="E8" s="86">
        <v>8229</v>
      </c>
      <c r="F8" s="95">
        <v>18000</v>
      </c>
      <c r="G8" s="95">
        <v>11520</v>
      </c>
      <c r="H8" s="95">
        <v>15470</v>
      </c>
      <c r="I8" s="95">
        <v>10116.800000000001</v>
      </c>
      <c r="J8" s="95">
        <v>25462</v>
      </c>
      <c r="K8" s="95">
        <v>16425.280000000002</v>
      </c>
      <c r="L8" s="95">
        <v>13890</v>
      </c>
      <c r="M8" s="95">
        <v>8932.7999999999993</v>
      </c>
      <c r="N8" s="95">
        <v>17472</v>
      </c>
      <c r="O8" s="95">
        <v>11182.080000000002</v>
      </c>
      <c r="P8" s="29">
        <v>10374</v>
      </c>
      <c r="Q8" s="29">
        <v>6639.3600000000006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>
        <v>18000</v>
      </c>
      <c r="AE8" s="29">
        <f t="shared" si="1"/>
        <v>64816.320000000007</v>
      </c>
      <c r="AF8" s="33">
        <f t="shared" si="2"/>
        <v>3000</v>
      </c>
      <c r="AG8" s="32">
        <f>AF8/$AF$22%</f>
        <v>1.0732627007224849</v>
      </c>
      <c r="AH8" s="25">
        <v>6</v>
      </c>
      <c r="AI8" s="114"/>
    </row>
    <row r="9" spans="1:37" ht="20.100000000000001" customHeight="1" x14ac:dyDescent="0.5">
      <c r="A9" s="34">
        <v>5</v>
      </c>
      <c r="B9" s="47" t="s">
        <v>35</v>
      </c>
      <c r="C9" s="28"/>
      <c r="D9" s="86">
        <v>21740</v>
      </c>
      <c r="E9" s="86">
        <v>14194</v>
      </c>
      <c r="F9" s="95">
        <v>10500</v>
      </c>
      <c r="G9" s="95">
        <v>6720</v>
      </c>
      <c r="H9" s="95">
        <v>17230</v>
      </c>
      <c r="I9" s="95">
        <v>11304.4</v>
      </c>
      <c r="J9" s="95">
        <v>17144</v>
      </c>
      <c r="K9" s="95">
        <v>11195.359999999999</v>
      </c>
      <c r="L9" s="95">
        <v>17402</v>
      </c>
      <c r="M9" s="95">
        <v>11543.36</v>
      </c>
      <c r="N9" s="95">
        <v>14050</v>
      </c>
      <c r="O9" s="95">
        <v>9280</v>
      </c>
      <c r="P9" s="29">
        <v>7250</v>
      </c>
      <c r="Q9" s="29">
        <v>4676</v>
      </c>
      <c r="R9" s="29"/>
      <c r="S9" s="29"/>
      <c r="T9" s="29"/>
      <c r="U9" s="29"/>
      <c r="V9" s="29"/>
      <c r="W9" s="29"/>
      <c r="X9" s="28"/>
      <c r="Y9" s="28"/>
      <c r="Z9" s="28"/>
      <c r="AA9" s="28"/>
      <c r="AB9" s="28"/>
      <c r="AC9" s="28"/>
      <c r="AD9" s="29">
        <f t="shared" si="0"/>
        <v>83576</v>
      </c>
      <c r="AE9" s="29">
        <f t="shared" si="1"/>
        <v>54719.12</v>
      </c>
      <c r="AF9" s="33">
        <f t="shared" si="2"/>
        <v>13929.333333333334</v>
      </c>
      <c r="AG9" s="32">
        <f>AF9/$AF$22%</f>
        <v>4.9832779708656894</v>
      </c>
      <c r="AH9" s="25">
        <v>4</v>
      </c>
      <c r="AI9" s="114"/>
      <c r="AK9" s="36"/>
    </row>
    <row r="10" spans="1:37" ht="20.100000000000001" hidden="1" customHeight="1" x14ac:dyDescent="0.5">
      <c r="A10" s="34">
        <v>6</v>
      </c>
      <c r="B10" s="47" t="s">
        <v>33</v>
      </c>
      <c r="C10" s="28"/>
      <c r="D10" s="86">
        <v>146</v>
      </c>
      <c r="E10" s="86">
        <v>3605</v>
      </c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29"/>
      <c r="Q10" s="29"/>
      <c r="R10" s="29"/>
      <c r="S10" s="29"/>
      <c r="T10" s="29"/>
      <c r="U10" s="29"/>
      <c r="V10" s="29"/>
      <c r="W10" s="29"/>
      <c r="X10" s="28"/>
      <c r="Y10" s="28"/>
      <c r="Z10" s="28"/>
      <c r="AA10" s="28"/>
      <c r="AB10" s="28"/>
      <c r="AC10" s="28"/>
      <c r="AD10" s="29">
        <f t="shared" si="0"/>
        <v>0</v>
      </c>
      <c r="AE10" s="29">
        <f t="shared" si="1"/>
        <v>0</v>
      </c>
      <c r="AF10" s="33">
        <f t="shared" si="2"/>
        <v>0</v>
      </c>
      <c r="AG10" s="32">
        <f t="shared" ref="AG10:AG20" si="3">AF10/$AF$22%</f>
        <v>0</v>
      </c>
      <c r="AH10" s="25">
        <v>8</v>
      </c>
      <c r="AI10" s="114"/>
    </row>
    <row r="11" spans="1:37" ht="20.100000000000001" customHeight="1" x14ac:dyDescent="0.5">
      <c r="A11" s="34">
        <v>7</v>
      </c>
      <c r="B11" s="47" t="s">
        <v>32</v>
      </c>
      <c r="C11" s="28"/>
      <c r="D11" s="86">
        <v>178316</v>
      </c>
      <c r="E11" s="86">
        <v>129850</v>
      </c>
      <c r="F11" s="95">
        <v>164430</v>
      </c>
      <c r="G11" s="95">
        <v>124739.99999999999</v>
      </c>
      <c r="H11" s="95">
        <v>167688</v>
      </c>
      <c r="I11" s="95">
        <v>126107.99999999999</v>
      </c>
      <c r="J11" s="95">
        <v>197792</v>
      </c>
      <c r="K11" s="95">
        <v>147150.08000000002</v>
      </c>
      <c r="L11" s="95">
        <v>145772</v>
      </c>
      <c r="M11" s="95">
        <v>103230.07999999999</v>
      </c>
      <c r="N11" s="95">
        <v>216684</v>
      </c>
      <c r="O11" s="95">
        <v>162070.56</v>
      </c>
      <c r="P11" s="29">
        <v>113550</v>
      </c>
      <c r="Q11" s="29">
        <v>87316.800000000003</v>
      </c>
      <c r="R11" s="29"/>
      <c r="S11" s="29"/>
      <c r="T11" s="29"/>
      <c r="U11" s="29"/>
      <c r="V11" s="29"/>
      <c r="W11" s="29"/>
      <c r="X11" s="28"/>
      <c r="Y11" s="28"/>
      <c r="Z11" s="28"/>
      <c r="AA11" s="28"/>
      <c r="AB11" s="28"/>
      <c r="AC11" s="28"/>
      <c r="AD11" s="29">
        <f t="shared" si="0"/>
        <v>1005916</v>
      </c>
      <c r="AE11" s="29">
        <f t="shared" si="1"/>
        <v>750615.52</v>
      </c>
      <c r="AF11" s="33">
        <f t="shared" si="2"/>
        <v>167652.66666666666</v>
      </c>
      <c r="AG11" s="32">
        <f>AF11/$AF$22%</f>
        <v>59.978451269997727</v>
      </c>
      <c r="AH11" s="25">
        <v>1</v>
      </c>
      <c r="AI11" s="114"/>
    </row>
    <row r="12" spans="1:37" ht="20.100000000000001" customHeight="1" x14ac:dyDescent="0.5">
      <c r="A12" s="34">
        <v>8</v>
      </c>
      <c r="B12" s="47" t="s">
        <v>31</v>
      </c>
      <c r="C12" s="28"/>
      <c r="D12" s="86">
        <v>2252</v>
      </c>
      <c r="E12" s="86">
        <v>1453</v>
      </c>
      <c r="F12" s="95">
        <v>560</v>
      </c>
      <c r="G12" s="95">
        <v>358.40000000000003</v>
      </c>
      <c r="H12" s="95"/>
      <c r="I12" s="95"/>
      <c r="J12" s="95">
        <v>840</v>
      </c>
      <c r="K12" s="95">
        <v>537.6</v>
      </c>
      <c r="L12" s="95">
        <v>1680</v>
      </c>
      <c r="M12" s="95">
        <v>1075.2</v>
      </c>
      <c r="N12" s="95">
        <v>2800</v>
      </c>
      <c r="O12" s="95">
        <v>1792.0000000000002</v>
      </c>
      <c r="P12" s="29"/>
      <c r="Q12" s="29"/>
      <c r="R12" s="29"/>
      <c r="S12" s="29"/>
      <c r="T12" s="29"/>
      <c r="U12" s="29"/>
      <c r="V12" s="29"/>
      <c r="W12" s="29"/>
      <c r="X12" s="28"/>
      <c r="Y12" s="28"/>
      <c r="Z12" s="28"/>
      <c r="AA12" s="28"/>
      <c r="AB12" s="28"/>
      <c r="AC12" s="28"/>
      <c r="AD12" s="29">
        <f t="shared" si="0"/>
        <v>5880</v>
      </c>
      <c r="AE12" s="29">
        <f t="shared" si="1"/>
        <v>3763.2000000000003</v>
      </c>
      <c r="AF12" s="33">
        <f t="shared" si="2"/>
        <v>980</v>
      </c>
      <c r="AG12" s="32">
        <f>AF12/$AF$22%</f>
        <v>0.3505991489026784</v>
      </c>
      <c r="AH12" s="25">
        <v>9</v>
      </c>
      <c r="AI12" s="114"/>
    </row>
    <row r="13" spans="1:37" ht="20.100000000000001" customHeight="1" thickBot="1" x14ac:dyDescent="0.55000000000000004">
      <c r="A13" s="34">
        <v>9</v>
      </c>
      <c r="B13" s="47" t="s">
        <v>30</v>
      </c>
      <c r="C13" s="28"/>
      <c r="D13" s="86">
        <v>733</v>
      </c>
      <c r="E13" s="86">
        <v>649</v>
      </c>
      <c r="F13" s="95">
        <v>2400</v>
      </c>
      <c r="G13" s="95">
        <v>2400</v>
      </c>
      <c r="H13" s="95">
        <v>140</v>
      </c>
      <c r="I13" s="95">
        <v>89.600000000000009</v>
      </c>
      <c r="J13" s="95"/>
      <c r="K13" s="95"/>
      <c r="L13" s="95"/>
      <c r="M13" s="95"/>
      <c r="N13" s="95"/>
      <c r="O13" s="95"/>
      <c r="P13" s="29"/>
      <c r="Q13" s="29"/>
      <c r="R13" s="29"/>
      <c r="S13" s="29"/>
      <c r="T13" s="29"/>
      <c r="U13" s="29"/>
      <c r="V13" s="29"/>
      <c r="W13" s="29"/>
      <c r="X13" s="28"/>
      <c r="Y13" s="28"/>
      <c r="Z13" s="28"/>
      <c r="AA13" s="28"/>
      <c r="AB13" s="28"/>
      <c r="AC13" s="28"/>
      <c r="AD13" s="29">
        <f t="shared" si="0"/>
        <v>2540</v>
      </c>
      <c r="AE13" s="29">
        <f t="shared" si="1"/>
        <v>2489.6</v>
      </c>
      <c r="AF13" s="33">
        <f t="shared" si="2"/>
        <v>423.33333333333331</v>
      </c>
      <c r="AG13" s="32">
        <f>AF13/$AF$22%</f>
        <v>0.15144929221306175</v>
      </c>
      <c r="AH13" s="25">
        <v>10</v>
      </c>
      <c r="AI13" s="114"/>
    </row>
    <row r="14" spans="1:37" ht="20.100000000000001" customHeight="1" thickTop="1" x14ac:dyDescent="0.5">
      <c r="A14" s="34">
        <v>10</v>
      </c>
      <c r="B14" s="47" t="s">
        <v>28</v>
      </c>
      <c r="C14" s="30"/>
      <c r="D14" s="87">
        <v>2719</v>
      </c>
      <c r="E14" s="87">
        <v>1745</v>
      </c>
      <c r="F14" s="95">
        <v>1590</v>
      </c>
      <c r="G14" s="95">
        <v>1024.8000000000002</v>
      </c>
      <c r="H14" s="95">
        <v>2486</v>
      </c>
      <c r="I14" s="95">
        <v>1593.2000000000003</v>
      </c>
      <c r="J14" s="95">
        <v>2300</v>
      </c>
      <c r="K14" s="95">
        <v>1475.6000000000001</v>
      </c>
      <c r="L14" s="95">
        <v>700</v>
      </c>
      <c r="M14" s="95">
        <v>448</v>
      </c>
      <c r="N14" s="95">
        <v>2510</v>
      </c>
      <c r="O14" s="95">
        <v>1610</v>
      </c>
      <c r="P14" s="29">
        <v>1436</v>
      </c>
      <c r="Q14" s="29">
        <v>921.2</v>
      </c>
      <c r="R14" s="29"/>
      <c r="S14" s="29"/>
      <c r="T14" s="29"/>
      <c r="U14" s="29"/>
      <c r="V14" s="29"/>
      <c r="W14" s="29"/>
      <c r="X14" s="28"/>
      <c r="Y14" s="28"/>
      <c r="Z14" s="28"/>
      <c r="AA14" s="4"/>
      <c r="AB14" s="4"/>
      <c r="AC14" s="48"/>
      <c r="AD14" s="29">
        <f t="shared" si="0"/>
        <v>11022</v>
      </c>
      <c r="AE14" s="29">
        <f t="shared" si="1"/>
        <v>7072.8</v>
      </c>
      <c r="AF14" s="33">
        <f t="shared" si="2"/>
        <v>1837</v>
      </c>
      <c r="AG14" s="32">
        <f>AF14/$AF$22%</f>
        <v>0.657194527075735</v>
      </c>
      <c r="AH14" s="25">
        <v>7</v>
      </c>
      <c r="AI14" s="114"/>
    </row>
    <row r="15" spans="1:37" ht="20.100000000000001" customHeight="1" x14ac:dyDescent="0.5">
      <c r="A15" s="34">
        <v>11</v>
      </c>
      <c r="B15" s="47" t="s">
        <v>48</v>
      </c>
      <c r="C15" s="30"/>
      <c r="D15" s="87">
        <v>36</v>
      </c>
      <c r="E15" s="87">
        <v>23</v>
      </c>
      <c r="F15" s="95">
        <v>700</v>
      </c>
      <c r="G15" s="95">
        <v>448</v>
      </c>
      <c r="H15" s="95">
        <v>980</v>
      </c>
      <c r="I15" s="95">
        <v>627.20000000000005</v>
      </c>
      <c r="J15" s="95">
        <v>700</v>
      </c>
      <c r="K15" s="95">
        <v>448</v>
      </c>
      <c r="L15" s="95"/>
      <c r="M15" s="95"/>
      <c r="N15" s="95">
        <v>700</v>
      </c>
      <c r="O15" s="95">
        <v>448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8"/>
      <c r="AA15" s="28"/>
      <c r="AB15" s="28"/>
      <c r="AC15" s="28"/>
      <c r="AD15" s="29">
        <f t="shared" si="0"/>
        <v>3080</v>
      </c>
      <c r="AE15" s="29">
        <f t="shared" si="1"/>
        <v>1971.2</v>
      </c>
      <c r="AF15" s="33">
        <f t="shared" si="2"/>
        <v>513.33333333333337</v>
      </c>
      <c r="AG15" s="32">
        <f>AF15/$AF$22%</f>
        <v>0.18364717323473634</v>
      </c>
      <c r="AH15" s="25">
        <v>11</v>
      </c>
      <c r="AI15" s="114"/>
    </row>
    <row r="16" spans="1:37" s="35" customFormat="1" ht="23.1" hidden="1" customHeight="1" x14ac:dyDescent="0.25">
      <c r="A16" s="34">
        <v>15</v>
      </c>
      <c r="B16" s="34"/>
      <c r="C16" s="34"/>
      <c r="D16" s="34"/>
      <c r="E16" s="34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>
        <f t="shared" ref="AD16:AD20" si="4">SUM(F16:AC16)</f>
        <v>0</v>
      </c>
      <c r="AE16" s="33"/>
      <c r="AF16" s="33">
        <f t="shared" ref="AF16:AF20" si="5">AD16/10</f>
        <v>0</v>
      </c>
      <c r="AG16" s="32">
        <f t="shared" si="3"/>
        <v>0</v>
      </c>
      <c r="AH16" s="25">
        <v>13</v>
      </c>
    </row>
    <row r="17" spans="1:34" ht="23.1" hidden="1" customHeight="1" x14ac:dyDescent="0.25">
      <c r="A17" s="34">
        <v>16</v>
      </c>
      <c r="B17" s="30"/>
      <c r="C17" s="30"/>
      <c r="D17" s="30"/>
      <c r="E17" s="30"/>
      <c r="F17" s="28"/>
      <c r="G17" s="28"/>
      <c r="H17" s="29"/>
      <c r="I17" s="29"/>
      <c r="J17" s="29"/>
      <c r="K17" s="29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9">
        <f t="shared" si="4"/>
        <v>0</v>
      </c>
      <c r="AE17" s="33"/>
      <c r="AF17" s="33">
        <f t="shared" si="5"/>
        <v>0</v>
      </c>
      <c r="AG17" s="32">
        <f t="shared" si="3"/>
        <v>0</v>
      </c>
      <c r="AH17" s="25">
        <v>9</v>
      </c>
    </row>
    <row r="18" spans="1:34" ht="23.1" hidden="1" customHeight="1" x14ac:dyDescent="0.25">
      <c r="A18" s="34">
        <v>17</v>
      </c>
      <c r="B18" s="30"/>
      <c r="C18" s="30"/>
      <c r="D18" s="30"/>
      <c r="E18" s="30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8"/>
      <c r="AA18" s="28"/>
      <c r="AB18" s="28"/>
      <c r="AC18" s="28"/>
      <c r="AD18" s="29">
        <f t="shared" si="4"/>
        <v>0</v>
      </c>
      <c r="AE18" s="33"/>
      <c r="AF18" s="33">
        <f t="shared" si="5"/>
        <v>0</v>
      </c>
      <c r="AG18" s="32">
        <f t="shared" si="3"/>
        <v>0</v>
      </c>
      <c r="AH18" s="25">
        <v>12</v>
      </c>
    </row>
    <row r="19" spans="1:34" ht="23.1" hidden="1" customHeight="1" x14ac:dyDescent="0.25">
      <c r="A19" s="34">
        <v>18</v>
      </c>
      <c r="B19" s="30"/>
      <c r="C19" s="30"/>
      <c r="D19" s="30"/>
      <c r="E19" s="30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8"/>
      <c r="AA19" s="28"/>
      <c r="AB19" s="28"/>
      <c r="AC19" s="28"/>
      <c r="AD19" s="29">
        <f t="shared" si="4"/>
        <v>0</v>
      </c>
      <c r="AE19" s="33"/>
      <c r="AF19" s="33">
        <f t="shared" si="5"/>
        <v>0</v>
      </c>
      <c r="AG19" s="32">
        <f t="shared" si="3"/>
        <v>0</v>
      </c>
      <c r="AH19" s="25">
        <v>4</v>
      </c>
    </row>
    <row r="20" spans="1:34" ht="23.1" hidden="1" customHeight="1" x14ac:dyDescent="0.25">
      <c r="A20" s="34">
        <v>19</v>
      </c>
      <c r="B20" s="30"/>
      <c r="C20" s="30"/>
      <c r="D20" s="30"/>
      <c r="E20" s="30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8"/>
      <c r="AA20" s="28"/>
      <c r="AB20" s="28"/>
      <c r="AC20" s="28"/>
      <c r="AD20" s="29">
        <f t="shared" si="4"/>
        <v>0</v>
      </c>
      <c r="AE20" s="33"/>
      <c r="AF20" s="33">
        <f t="shared" si="5"/>
        <v>0</v>
      </c>
      <c r="AG20" s="32">
        <f t="shared" si="3"/>
        <v>0</v>
      </c>
      <c r="AH20" s="25">
        <v>15</v>
      </c>
    </row>
    <row r="21" spans="1:34" ht="23.1" hidden="1" customHeight="1" x14ac:dyDescent="0.25">
      <c r="A21" s="31"/>
      <c r="B21" s="30"/>
      <c r="C21" s="30"/>
      <c r="D21" s="30"/>
      <c r="E21" s="30"/>
      <c r="F21" s="28"/>
      <c r="G21" s="28"/>
      <c r="H21" s="29"/>
      <c r="I21" s="29"/>
      <c r="J21" s="29"/>
      <c r="K21" s="29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7"/>
      <c r="AF21" s="27"/>
      <c r="AG21" s="26"/>
      <c r="AH21" s="25"/>
    </row>
    <row r="22" spans="1:34" s="17" customFormat="1" ht="23.1" customHeight="1" thickBot="1" x14ac:dyDescent="0.3">
      <c r="A22" s="24"/>
      <c r="B22" s="23" t="s">
        <v>47</v>
      </c>
      <c r="C22" s="23"/>
      <c r="D22" s="70">
        <f>SUM(D5:D15)</f>
        <v>303457</v>
      </c>
      <c r="E22" s="70">
        <f>SUM(E5:E15)</f>
        <v>214358</v>
      </c>
      <c r="F22" s="21">
        <f>SUM(F5:F21)</f>
        <v>292067</v>
      </c>
      <c r="G22" s="21">
        <f>SUM(G5:G21)</f>
        <v>217035.25999999995</v>
      </c>
      <c r="H22" s="22">
        <f t="shared" ref="H22:AF22" si="6">SUM(H5:H21)</f>
        <v>293594</v>
      </c>
      <c r="I22" s="22">
        <f t="shared" si="6"/>
        <v>215869.63999999998</v>
      </c>
      <c r="J22" s="21">
        <f t="shared" si="6"/>
        <v>365124</v>
      </c>
      <c r="K22" s="21">
        <f>SUM(K5:K21)</f>
        <v>263664.64000000001</v>
      </c>
      <c r="L22" s="21">
        <f t="shared" si="6"/>
        <v>250122</v>
      </c>
      <c r="M22" s="21">
        <f>SUM(M5:M21)</f>
        <v>175295.28</v>
      </c>
      <c r="N22" s="21">
        <f t="shared" si="6"/>
        <v>366424</v>
      </c>
      <c r="O22" s="21">
        <f t="shared" si="6"/>
        <v>272334.95999999996</v>
      </c>
      <c r="P22" s="21">
        <f t="shared" si="6"/>
        <v>192466</v>
      </c>
      <c r="Q22" s="21">
        <f t="shared" si="6"/>
        <v>145845.76000000001</v>
      </c>
      <c r="R22" s="21">
        <f t="shared" si="6"/>
        <v>0</v>
      </c>
      <c r="S22" s="21">
        <f t="shared" si="6"/>
        <v>0</v>
      </c>
      <c r="T22" s="21">
        <f t="shared" si="6"/>
        <v>0</v>
      </c>
      <c r="U22" s="21">
        <f t="shared" si="6"/>
        <v>0</v>
      </c>
      <c r="V22" s="21">
        <f t="shared" si="6"/>
        <v>0</v>
      </c>
      <c r="W22" s="21">
        <f t="shared" si="6"/>
        <v>0</v>
      </c>
      <c r="X22" s="21">
        <f t="shared" si="6"/>
        <v>0</v>
      </c>
      <c r="Y22" s="21">
        <f t="shared" si="6"/>
        <v>0</v>
      </c>
      <c r="Z22" s="21">
        <f t="shared" si="6"/>
        <v>0</v>
      </c>
      <c r="AA22" s="21">
        <f t="shared" si="6"/>
        <v>0</v>
      </c>
      <c r="AB22" s="21">
        <f t="shared" si="6"/>
        <v>0</v>
      </c>
      <c r="AC22" s="21">
        <f t="shared" si="6"/>
        <v>0</v>
      </c>
      <c r="AD22" s="21">
        <f t="shared" si="6"/>
        <v>1677129</v>
      </c>
      <c r="AE22" s="21">
        <f t="shared" si="6"/>
        <v>1290045.54</v>
      </c>
      <c r="AF22" s="21">
        <f t="shared" si="6"/>
        <v>279521.49999999994</v>
      </c>
      <c r="AG22" s="54" t="s">
        <v>23</v>
      </c>
      <c r="AH22" s="54"/>
    </row>
    <row r="23" spans="1:34" ht="23.1" customHeight="1" thickBot="1" x14ac:dyDescent="0.3"/>
    <row r="24" spans="1:34" ht="23.1" customHeight="1" x14ac:dyDescent="0.25">
      <c r="A24" s="206" t="s">
        <v>46</v>
      </c>
      <c r="B24" s="206" t="s">
        <v>45</v>
      </c>
      <c r="C24" s="207" t="s">
        <v>44</v>
      </c>
      <c r="D24" s="218"/>
      <c r="E24" s="223"/>
      <c r="F24" s="209" t="s">
        <v>110</v>
      </c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1"/>
      <c r="AG24" s="212" t="s">
        <v>115</v>
      </c>
      <c r="AH24" s="204" t="s">
        <v>43</v>
      </c>
    </row>
    <row r="25" spans="1:34" ht="32.25" customHeight="1" x14ac:dyDescent="0.25">
      <c r="A25" s="206"/>
      <c r="B25" s="206"/>
      <c r="C25" s="208"/>
      <c r="D25" s="218" t="s">
        <v>116</v>
      </c>
      <c r="E25" s="223"/>
      <c r="F25" s="216" t="s">
        <v>19</v>
      </c>
      <c r="G25" s="217"/>
      <c r="H25" s="216" t="s">
        <v>58</v>
      </c>
      <c r="I25" s="217"/>
      <c r="J25" s="216" t="s">
        <v>59</v>
      </c>
      <c r="K25" s="217"/>
      <c r="L25" s="216" t="s">
        <v>60</v>
      </c>
      <c r="M25" s="217"/>
      <c r="N25" s="216" t="s">
        <v>61</v>
      </c>
      <c r="O25" s="217"/>
      <c r="P25" s="216" t="s">
        <v>62</v>
      </c>
      <c r="Q25" s="217"/>
      <c r="R25" s="216" t="s">
        <v>63</v>
      </c>
      <c r="S25" s="217"/>
      <c r="T25" s="216" t="s">
        <v>64</v>
      </c>
      <c r="U25" s="217"/>
      <c r="V25" s="216" t="s">
        <v>65</v>
      </c>
      <c r="W25" s="217"/>
      <c r="X25" s="216" t="s">
        <v>18</v>
      </c>
      <c r="Y25" s="217"/>
      <c r="Z25" s="216" t="s">
        <v>17</v>
      </c>
      <c r="AA25" s="217"/>
      <c r="AB25" s="216" t="s">
        <v>16</v>
      </c>
      <c r="AC25" s="217"/>
      <c r="AD25" s="200" t="s">
        <v>55</v>
      </c>
      <c r="AE25" s="201"/>
      <c r="AF25" s="68" t="s">
        <v>42</v>
      </c>
      <c r="AG25" s="213"/>
      <c r="AH25" s="205"/>
    </row>
    <row r="26" spans="1:34" ht="23.1" customHeight="1" x14ac:dyDescent="0.25">
      <c r="A26" s="60"/>
      <c r="B26" s="60"/>
      <c r="C26" s="61"/>
      <c r="D26" s="65" t="s">
        <v>56</v>
      </c>
      <c r="E26" s="65" t="s">
        <v>93</v>
      </c>
      <c r="F26" s="65" t="s">
        <v>56</v>
      </c>
      <c r="G26" s="65" t="s">
        <v>93</v>
      </c>
      <c r="H26" s="65" t="s">
        <v>56</v>
      </c>
      <c r="I26" s="65" t="s">
        <v>93</v>
      </c>
      <c r="J26" s="65" t="s">
        <v>56</v>
      </c>
      <c r="K26" s="65" t="s">
        <v>93</v>
      </c>
      <c r="L26" s="65" t="s">
        <v>56</v>
      </c>
      <c r="M26" s="65" t="s">
        <v>93</v>
      </c>
      <c r="N26" s="65" t="s">
        <v>56</v>
      </c>
      <c r="O26" s="65" t="s">
        <v>93</v>
      </c>
      <c r="P26" s="65" t="s">
        <v>56</v>
      </c>
      <c r="Q26" s="65" t="s">
        <v>93</v>
      </c>
      <c r="R26" s="65" t="s">
        <v>56</v>
      </c>
      <c r="S26" s="65" t="s">
        <v>93</v>
      </c>
      <c r="T26" s="65" t="s">
        <v>56</v>
      </c>
      <c r="U26" s="65" t="s">
        <v>93</v>
      </c>
      <c r="V26" s="65" t="s">
        <v>56</v>
      </c>
      <c r="W26" s="65" t="s">
        <v>93</v>
      </c>
      <c r="X26" s="65" t="s">
        <v>56</v>
      </c>
      <c r="Y26" s="65" t="s">
        <v>93</v>
      </c>
      <c r="Z26" s="65" t="s">
        <v>56</v>
      </c>
      <c r="AA26" s="65" t="s">
        <v>93</v>
      </c>
      <c r="AB26" s="65" t="s">
        <v>56</v>
      </c>
      <c r="AC26" s="65" t="s">
        <v>93</v>
      </c>
      <c r="AD26" s="65" t="s">
        <v>56</v>
      </c>
      <c r="AE26" s="65" t="s">
        <v>93</v>
      </c>
      <c r="AF26" s="68"/>
      <c r="AG26" s="63"/>
      <c r="AH26" s="64"/>
    </row>
    <row r="27" spans="1:34" s="35" customFormat="1" ht="20.100000000000001" customHeight="1" x14ac:dyDescent="0.25">
      <c r="A27" s="34">
        <v>1</v>
      </c>
      <c r="B27" s="29" t="s">
        <v>41</v>
      </c>
      <c r="C27" s="34" t="s">
        <v>40</v>
      </c>
      <c r="D27" s="33">
        <v>8730.5</v>
      </c>
      <c r="E27" s="34"/>
      <c r="F27" s="95">
        <v>893</v>
      </c>
      <c r="G27" s="95">
        <v>789.98</v>
      </c>
      <c r="H27" s="95">
        <v>1802</v>
      </c>
      <c r="I27" s="95">
        <v>1587.8</v>
      </c>
      <c r="J27" s="95">
        <v>3310</v>
      </c>
      <c r="K27" s="95">
        <v>2541.04</v>
      </c>
      <c r="L27" s="95">
        <v>2214</v>
      </c>
      <c r="M27" s="95">
        <v>1874.88</v>
      </c>
      <c r="N27" s="95">
        <v>3798</v>
      </c>
      <c r="O27" s="95">
        <v>3156.48</v>
      </c>
      <c r="P27" s="29">
        <v>1534</v>
      </c>
      <c r="Q27" s="29">
        <v>1202.8000000000002</v>
      </c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>
        <f>+F27+H27+J27+L27+N27+P27+R27+T27+V27+X27+Z27+AB27</f>
        <v>13551</v>
      </c>
      <c r="AE27" s="29">
        <f>+G27+I27+K27+M27+O27+Q27+S27+U27+W27+Y27+AA27+AC27</f>
        <v>11152.98</v>
      </c>
      <c r="AF27" s="33">
        <f>AD27/5</f>
        <v>2710.2</v>
      </c>
      <c r="AG27" s="32">
        <f t="shared" ref="AG27:AG40" si="7">IFERROR(AF27/$AF$42%,0)</f>
        <v>36.77839598317275</v>
      </c>
      <c r="AH27" s="25">
        <v>1</v>
      </c>
    </row>
    <row r="28" spans="1:34" s="35" customFormat="1" ht="20.100000000000001" customHeight="1" x14ac:dyDescent="0.25">
      <c r="A28" s="34">
        <v>2</v>
      </c>
      <c r="B28" s="29" t="s">
        <v>39</v>
      </c>
      <c r="C28" s="34" t="s">
        <v>37</v>
      </c>
      <c r="D28" s="33">
        <v>1710</v>
      </c>
      <c r="E28" s="34"/>
      <c r="F28" s="95"/>
      <c r="G28" s="95"/>
      <c r="H28" s="95">
        <v>120</v>
      </c>
      <c r="I28" s="95">
        <v>120</v>
      </c>
      <c r="J28" s="95">
        <v>1940</v>
      </c>
      <c r="K28" s="95">
        <v>1587.2</v>
      </c>
      <c r="L28" s="95">
        <v>720</v>
      </c>
      <c r="M28" s="95">
        <v>504</v>
      </c>
      <c r="N28" s="95"/>
      <c r="O28" s="95"/>
      <c r="P28" s="29">
        <v>1200</v>
      </c>
      <c r="Q28" s="29">
        <v>1200</v>
      </c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>
        <f t="shared" ref="AD28:AD37" si="8">+F28+H28+J28+L28+N28+P28+R28+T28+V28+X28+Z28+AB28</f>
        <v>3980</v>
      </c>
      <c r="AE28" s="29">
        <f t="shared" ref="AE28:AE37" si="9">+G28+I28+K28+M28+O28+Q28+S28+U28+W28+Y28+AA28+AC28</f>
        <v>3411.2</v>
      </c>
      <c r="AF28" s="33">
        <f t="shared" ref="AF28:AF37" si="10">AD28/5</f>
        <v>796</v>
      </c>
      <c r="AG28" s="32">
        <f t="shared" si="7"/>
        <v>10.802008413624645</v>
      </c>
      <c r="AH28" s="25">
        <v>2</v>
      </c>
    </row>
    <row r="29" spans="1:34" ht="20.100000000000001" customHeight="1" x14ac:dyDescent="0.25">
      <c r="A29" s="34">
        <v>3</v>
      </c>
      <c r="B29" s="29" t="s">
        <v>38</v>
      </c>
      <c r="C29" s="30" t="s">
        <v>37</v>
      </c>
      <c r="D29" s="33">
        <v>1358</v>
      </c>
      <c r="E29" s="30"/>
      <c r="F29" s="95"/>
      <c r="G29" s="95"/>
      <c r="H29" s="95">
        <v>176</v>
      </c>
      <c r="I29" s="95">
        <v>114.80000000000001</v>
      </c>
      <c r="J29" s="95"/>
      <c r="K29" s="95"/>
      <c r="L29" s="95"/>
      <c r="M29" s="95"/>
      <c r="N29" s="95"/>
      <c r="O29" s="95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>
        <f t="shared" si="8"/>
        <v>176</v>
      </c>
      <c r="AE29" s="29">
        <f t="shared" si="9"/>
        <v>114.80000000000001</v>
      </c>
      <c r="AF29" s="33">
        <f t="shared" si="10"/>
        <v>35.200000000000003</v>
      </c>
      <c r="AG29" s="32">
        <f t="shared" si="7"/>
        <v>0.47767675396933101</v>
      </c>
      <c r="AH29" s="25">
        <v>8</v>
      </c>
    </row>
    <row r="30" spans="1:34" ht="20.100000000000001" customHeight="1" x14ac:dyDescent="0.25">
      <c r="A30" s="34">
        <v>4</v>
      </c>
      <c r="B30" s="28" t="s">
        <v>36</v>
      </c>
      <c r="C30" s="30" t="s">
        <v>34</v>
      </c>
      <c r="D30" s="33">
        <v>6160</v>
      </c>
      <c r="E30" s="30"/>
      <c r="F30" s="95"/>
      <c r="G30" s="95"/>
      <c r="H30" s="95"/>
      <c r="I30" s="95"/>
      <c r="J30" s="95">
        <v>360</v>
      </c>
      <c r="K30" s="95">
        <v>360</v>
      </c>
      <c r="L30" s="95"/>
      <c r="M30" s="95"/>
      <c r="N30" s="95">
        <v>1288</v>
      </c>
      <c r="O30" s="95">
        <v>824.32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9">
        <f t="shared" si="8"/>
        <v>1648</v>
      </c>
      <c r="AE30" s="29">
        <f t="shared" si="9"/>
        <v>1184.3200000000002</v>
      </c>
      <c r="AF30" s="33">
        <f t="shared" si="10"/>
        <v>329.6</v>
      </c>
      <c r="AG30" s="32">
        <f t="shared" si="7"/>
        <v>4.4727914235310084</v>
      </c>
      <c r="AH30" s="25">
        <v>7</v>
      </c>
    </row>
    <row r="31" spans="1:34" ht="20.100000000000001" customHeight="1" x14ac:dyDescent="0.25">
      <c r="A31" s="34">
        <v>5</v>
      </c>
      <c r="B31" s="29" t="s">
        <v>35</v>
      </c>
      <c r="C31" s="30" t="s">
        <v>34</v>
      </c>
      <c r="D31" s="33">
        <v>389</v>
      </c>
      <c r="E31" s="30"/>
      <c r="F31" s="95"/>
      <c r="G31" s="95"/>
      <c r="H31" s="95">
        <v>660</v>
      </c>
      <c r="I31" s="95">
        <v>436.80000000000007</v>
      </c>
      <c r="J31" s="95"/>
      <c r="K31" s="95"/>
      <c r="L31" s="95">
        <v>440</v>
      </c>
      <c r="M31" s="95">
        <v>299.60000000000002</v>
      </c>
      <c r="N31" s="95"/>
      <c r="O31" s="95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8"/>
      <c r="AA31" s="28"/>
      <c r="AB31" s="28"/>
      <c r="AC31" s="28"/>
      <c r="AD31" s="29">
        <f t="shared" si="8"/>
        <v>1100</v>
      </c>
      <c r="AE31" s="29">
        <f t="shared" si="9"/>
        <v>736.40000000000009</v>
      </c>
      <c r="AF31" s="33">
        <f t="shared" si="10"/>
        <v>220</v>
      </c>
      <c r="AG31" s="32">
        <f t="shared" si="7"/>
        <v>2.9854797123083188</v>
      </c>
      <c r="AH31" s="25">
        <v>5</v>
      </c>
    </row>
    <row r="32" spans="1:34" ht="20.100000000000001" customHeight="1" x14ac:dyDescent="0.25">
      <c r="A32" s="34">
        <v>6</v>
      </c>
      <c r="B32" s="29" t="s">
        <v>33</v>
      </c>
      <c r="C32" s="30" t="s">
        <v>25</v>
      </c>
      <c r="D32" s="33">
        <v>0</v>
      </c>
      <c r="E32" s="30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8"/>
      <c r="AA32" s="28"/>
      <c r="AB32" s="28"/>
      <c r="AC32" s="28"/>
      <c r="AD32" s="29">
        <f t="shared" si="8"/>
        <v>0</v>
      </c>
      <c r="AE32" s="29">
        <f t="shared" si="9"/>
        <v>0</v>
      </c>
      <c r="AF32" s="33">
        <f t="shared" si="10"/>
        <v>0</v>
      </c>
      <c r="AG32" s="32">
        <f t="shared" si="7"/>
        <v>0</v>
      </c>
      <c r="AH32" s="25">
        <v>9</v>
      </c>
    </row>
    <row r="33" spans="1:34" ht="20.100000000000001" customHeight="1" x14ac:dyDescent="0.25">
      <c r="A33" s="34">
        <v>7</v>
      </c>
      <c r="B33" s="29" t="s">
        <v>32</v>
      </c>
      <c r="C33" s="30" t="s">
        <v>25</v>
      </c>
      <c r="D33" s="33">
        <v>5548</v>
      </c>
      <c r="E33" s="30"/>
      <c r="F33" s="95">
        <v>540</v>
      </c>
      <c r="G33" s="95">
        <v>540</v>
      </c>
      <c r="H33" s="95">
        <v>640</v>
      </c>
      <c r="I33" s="95">
        <v>539.20000000000005</v>
      </c>
      <c r="J33" s="95">
        <v>1200</v>
      </c>
      <c r="K33" s="95">
        <v>1200</v>
      </c>
      <c r="L33" s="95"/>
      <c r="M33" s="95"/>
      <c r="N33" s="95">
        <v>8220</v>
      </c>
      <c r="O33" s="95">
        <v>6708</v>
      </c>
      <c r="P33" s="29">
        <v>1800</v>
      </c>
      <c r="Q33" s="29">
        <v>1800</v>
      </c>
      <c r="R33" s="29"/>
      <c r="S33" s="29"/>
      <c r="T33" s="29"/>
      <c r="U33" s="29"/>
      <c r="V33" s="29"/>
      <c r="W33" s="29"/>
      <c r="X33" s="29"/>
      <c r="Y33" s="29"/>
      <c r="Z33" s="28"/>
      <c r="AA33" s="28"/>
      <c r="AB33" s="28"/>
      <c r="AC33" s="28"/>
      <c r="AD33" s="29">
        <f t="shared" si="8"/>
        <v>12400</v>
      </c>
      <c r="AE33" s="29">
        <f t="shared" si="9"/>
        <v>10787.2</v>
      </c>
      <c r="AF33" s="33">
        <f t="shared" si="10"/>
        <v>2480</v>
      </c>
      <c r="AG33" s="32">
        <f t="shared" si="7"/>
        <v>33.654498575111958</v>
      </c>
      <c r="AH33" s="25">
        <v>4</v>
      </c>
    </row>
    <row r="34" spans="1:34" ht="20.100000000000001" customHeight="1" x14ac:dyDescent="0.25">
      <c r="A34" s="34">
        <v>8</v>
      </c>
      <c r="B34" s="29" t="s">
        <v>31</v>
      </c>
      <c r="C34" s="30" t="s">
        <v>25</v>
      </c>
      <c r="D34" s="33">
        <v>0</v>
      </c>
      <c r="E34" s="30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9">
        <f t="shared" si="8"/>
        <v>0</v>
      </c>
      <c r="AE34" s="29">
        <f t="shared" si="9"/>
        <v>0</v>
      </c>
      <c r="AF34" s="33">
        <f t="shared" si="10"/>
        <v>0</v>
      </c>
      <c r="AG34" s="32">
        <f t="shared" si="7"/>
        <v>0</v>
      </c>
      <c r="AH34" s="25">
        <v>10</v>
      </c>
    </row>
    <row r="35" spans="1:34" ht="20.100000000000001" customHeight="1" x14ac:dyDescent="0.25">
      <c r="A35" s="34">
        <v>9</v>
      </c>
      <c r="B35" s="29" t="s">
        <v>30</v>
      </c>
      <c r="C35" s="30" t="s">
        <v>29</v>
      </c>
      <c r="D35" s="33">
        <v>0</v>
      </c>
      <c r="E35" s="30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8"/>
      <c r="AA35" s="28"/>
      <c r="AB35" s="28"/>
      <c r="AC35" s="28"/>
      <c r="AD35" s="29">
        <f t="shared" si="8"/>
        <v>0</v>
      </c>
      <c r="AE35" s="29">
        <f t="shared" si="9"/>
        <v>0</v>
      </c>
      <c r="AF35" s="33">
        <f t="shared" si="10"/>
        <v>0</v>
      </c>
      <c r="AG35" s="32">
        <f t="shared" si="7"/>
        <v>0</v>
      </c>
      <c r="AH35" s="25">
        <v>11</v>
      </c>
    </row>
    <row r="36" spans="1:34" ht="20.100000000000001" customHeight="1" x14ac:dyDescent="0.25">
      <c r="A36" s="34">
        <v>10</v>
      </c>
      <c r="B36" s="30" t="s">
        <v>28</v>
      </c>
      <c r="C36" s="30" t="s">
        <v>27</v>
      </c>
      <c r="D36" s="33">
        <v>2515</v>
      </c>
      <c r="E36" s="30"/>
      <c r="F36" s="95">
        <v>560</v>
      </c>
      <c r="G36" s="95">
        <v>358.40000000000003</v>
      </c>
      <c r="H36" s="95"/>
      <c r="I36" s="95"/>
      <c r="J36" s="95">
        <v>350</v>
      </c>
      <c r="K36" s="95">
        <v>224</v>
      </c>
      <c r="L36" s="95"/>
      <c r="M36" s="95"/>
      <c r="N36" s="95"/>
      <c r="O36" s="95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8"/>
      <c r="AA36" s="28"/>
      <c r="AB36" s="28"/>
      <c r="AC36" s="28"/>
      <c r="AD36" s="29">
        <f t="shared" si="8"/>
        <v>910</v>
      </c>
      <c r="AE36" s="29">
        <f t="shared" si="9"/>
        <v>582.40000000000009</v>
      </c>
      <c r="AF36" s="33">
        <f t="shared" si="10"/>
        <v>182</v>
      </c>
      <c r="AG36" s="32">
        <f t="shared" si="7"/>
        <v>2.4698059438187001</v>
      </c>
      <c r="AH36" s="25">
        <v>6</v>
      </c>
    </row>
    <row r="37" spans="1:34" ht="20.100000000000001" customHeight="1" x14ac:dyDescent="0.5">
      <c r="A37" s="34">
        <v>11</v>
      </c>
      <c r="B37" s="56" t="s">
        <v>48</v>
      </c>
      <c r="C37" s="30" t="s">
        <v>26</v>
      </c>
      <c r="D37" s="33">
        <v>216</v>
      </c>
      <c r="E37" s="30"/>
      <c r="F37" s="95">
        <v>700</v>
      </c>
      <c r="G37" s="95">
        <v>448</v>
      </c>
      <c r="H37" s="95">
        <v>980</v>
      </c>
      <c r="I37" s="95">
        <v>627.20000000000005</v>
      </c>
      <c r="J37" s="95">
        <v>700</v>
      </c>
      <c r="K37" s="95">
        <v>448</v>
      </c>
      <c r="L37" s="95"/>
      <c r="M37" s="95"/>
      <c r="N37" s="95">
        <v>700</v>
      </c>
      <c r="O37" s="95">
        <v>448</v>
      </c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8"/>
      <c r="AA37" s="28"/>
      <c r="AB37" s="28"/>
      <c r="AC37" s="28"/>
      <c r="AD37" s="29">
        <f t="shared" si="8"/>
        <v>3080</v>
      </c>
      <c r="AE37" s="29">
        <f t="shared" si="9"/>
        <v>1971.2</v>
      </c>
      <c r="AF37" s="33">
        <f t="shared" si="10"/>
        <v>616</v>
      </c>
      <c r="AG37" s="32">
        <f t="shared" si="7"/>
        <v>8.3593431944632925</v>
      </c>
      <c r="AH37" s="25">
        <v>3</v>
      </c>
    </row>
    <row r="38" spans="1:34" ht="20.100000000000001" hidden="1" customHeight="1" x14ac:dyDescent="0.25">
      <c r="A38" s="34">
        <v>12</v>
      </c>
      <c r="B38" s="30"/>
      <c r="C38" s="30" t="s">
        <v>54</v>
      </c>
      <c r="D38" s="30">
        <v>216</v>
      </c>
      <c r="E38" s="30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8"/>
      <c r="AA38" s="28"/>
      <c r="AB38" s="28"/>
      <c r="AC38" s="28"/>
      <c r="AD38" s="29">
        <f t="shared" ref="AD38:AD40" si="11">SUM(F38:AC38)</f>
        <v>0</v>
      </c>
      <c r="AE38" s="33"/>
      <c r="AF38" s="33"/>
      <c r="AG38" s="32">
        <f t="shared" si="7"/>
        <v>0</v>
      </c>
      <c r="AH38" s="25">
        <v>4</v>
      </c>
    </row>
    <row r="39" spans="1:34" ht="20.100000000000001" hidden="1" customHeight="1" x14ac:dyDescent="0.25">
      <c r="A39" s="34">
        <v>13</v>
      </c>
      <c r="B39" s="30"/>
      <c r="C39" s="30" t="s">
        <v>53</v>
      </c>
      <c r="D39" s="30"/>
      <c r="E39" s="30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8"/>
      <c r="AA39" s="28"/>
      <c r="AB39" s="28"/>
      <c r="AC39" s="28"/>
      <c r="AD39" s="29">
        <f t="shared" si="11"/>
        <v>0</v>
      </c>
      <c r="AE39" s="33"/>
      <c r="AF39" s="33"/>
      <c r="AG39" s="32">
        <f t="shared" si="7"/>
        <v>0</v>
      </c>
      <c r="AH39" s="25">
        <v>3</v>
      </c>
    </row>
    <row r="40" spans="1:34" ht="20.100000000000001" hidden="1" customHeight="1" x14ac:dyDescent="0.25">
      <c r="A40" s="34">
        <v>14</v>
      </c>
      <c r="B40" s="30"/>
      <c r="C40" s="30" t="s">
        <v>25</v>
      </c>
      <c r="D40" s="30"/>
      <c r="E40" s="30"/>
      <c r="F40" s="28"/>
      <c r="G40" s="28"/>
      <c r="H40" s="29"/>
      <c r="I40" s="29"/>
      <c r="J40" s="29"/>
      <c r="K40" s="29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9">
        <f t="shared" si="11"/>
        <v>0</v>
      </c>
      <c r="AE40" s="33"/>
      <c r="AF40" s="33"/>
      <c r="AG40" s="32">
        <f t="shared" si="7"/>
        <v>0</v>
      </c>
      <c r="AH40" s="25">
        <v>10</v>
      </c>
    </row>
    <row r="41" spans="1:34" ht="20.100000000000001" customHeight="1" x14ac:dyDescent="0.25">
      <c r="A41" s="31"/>
      <c r="B41" s="30"/>
      <c r="C41" s="30"/>
      <c r="D41" s="30"/>
      <c r="E41" s="30"/>
      <c r="F41" s="28"/>
      <c r="G41" s="28"/>
      <c r="H41" s="29"/>
      <c r="I41" s="29"/>
      <c r="J41" s="29"/>
      <c r="K41" s="29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7"/>
      <c r="AF41" s="27"/>
      <c r="AG41" s="26"/>
      <c r="AH41" s="25"/>
    </row>
    <row r="42" spans="1:34" s="17" customFormat="1" ht="23.1" customHeight="1" thickBot="1" x14ac:dyDescent="0.3">
      <c r="A42" s="24"/>
      <c r="B42" s="23" t="s">
        <v>24</v>
      </c>
      <c r="C42" s="23"/>
      <c r="D42" s="70">
        <f>SUM(D27:D37)</f>
        <v>26626.5</v>
      </c>
      <c r="E42" s="23"/>
      <c r="F42" s="21">
        <f t="shared" ref="F42:AF42" si="12">SUM(F27:F41)</f>
        <v>2693</v>
      </c>
      <c r="G42" s="21">
        <f t="shared" si="12"/>
        <v>2136.38</v>
      </c>
      <c r="H42" s="22">
        <f t="shared" si="12"/>
        <v>4378</v>
      </c>
      <c r="I42" s="22">
        <f t="shared" si="12"/>
        <v>3425.8</v>
      </c>
      <c r="J42" s="21">
        <f t="shared" si="12"/>
        <v>7860</v>
      </c>
      <c r="K42" s="21">
        <f t="shared" si="12"/>
        <v>6360.24</v>
      </c>
      <c r="L42" s="21">
        <f t="shared" si="12"/>
        <v>3374</v>
      </c>
      <c r="M42" s="21">
        <f t="shared" si="12"/>
        <v>2678.48</v>
      </c>
      <c r="N42" s="21">
        <f t="shared" si="12"/>
        <v>14006</v>
      </c>
      <c r="O42" s="21">
        <f t="shared" si="12"/>
        <v>11136.8</v>
      </c>
      <c r="P42" s="21">
        <f t="shared" si="12"/>
        <v>4534</v>
      </c>
      <c r="Q42" s="21">
        <f t="shared" si="12"/>
        <v>4202.8</v>
      </c>
      <c r="R42" s="21">
        <f t="shared" si="12"/>
        <v>0</v>
      </c>
      <c r="S42" s="21">
        <f t="shared" si="12"/>
        <v>0</v>
      </c>
      <c r="T42" s="21">
        <f t="shared" si="12"/>
        <v>0</v>
      </c>
      <c r="U42" s="21">
        <f t="shared" si="12"/>
        <v>0</v>
      </c>
      <c r="V42" s="21">
        <f t="shared" si="12"/>
        <v>0</v>
      </c>
      <c r="W42" s="21">
        <f t="shared" si="12"/>
        <v>0</v>
      </c>
      <c r="X42" s="21">
        <f t="shared" si="12"/>
        <v>0</v>
      </c>
      <c r="Y42" s="21">
        <f t="shared" si="12"/>
        <v>0</v>
      </c>
      <c r="Z42" s="21">
        <f t="shared" si="12"/>
        <v>0</v>
      </c>
      <c r="AA42" s="21">
        <f t="shared" si="12"/>
        <v>0</v>
      </c>
      <c r="AB42" s="21">
        <f t="shared" si="12"/>
        <v>0</v>
      </c>
      <c r="AC42" s="21">
        <f t="shared" si="12"/>
        <v>0</v>
      </c>
      <c r="AD42" s="21">
        <f t="shared" si="12"/>
        <v>36845</v>
      </c>
      <c r="AE42" s="21">
        <f t="shared" si="12"/>
        <v>29940.500000000004</v>
      </c>
      <c r="AF42" s="20">
        <f t="shared" si="12"/>
        <v>7369</v>
      </c>
      <c r="AG42" s="19" t="s">
        <v>23</v>
      </c>
      <c r="AH42" s="18"/>
    </row>
    <row r="43" spans="1:34" ht="23.1" customHeight="1" thickBot="1" x14ac:dyDescent="0.3">
      <c r="L43" s="17"/>
      <c r="M43" s="17"/>
    </row>
    <row r="44" spans="1:34" s="5" customFormat="1" ht="23.1" customHeight="1" thickBot="1" x14ac:dyDescent="0.3">
      <c r="A44" s="214" t="s">
        <v>22</v>
      </c>
      <c r="B44" s="215"/>
      <c r="C44" s="215"/>
      <c r="D44" s="231"/>
      <c r="E44" s="232"/>
      <c r="F44" s="235"/>
      <c r="G44" s="230"/>
      <c r="H44" s="229"/>
      <c r="I44" s="230"/>
      <c r="J44" s="229"/>
      <c r="K44" s="230"/>
      <c r="L44" s="229"/>
      <c r="M44" s="230"/>
      <c r="N44" s="15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5"/>
      <c r="AB44" s="15"/>
      <c r="AC44" s="15"/>
    </row>
    <row r="45" spans="1:34" s="5" customFormat="1" ht="23.1" customHeight="1" x14ac:dyDescent="0.25">
      <c r="A45" s="50"/>
      <c r="B45" s="51"/>
      <c r="C45" s="96"/>
      <c r="D45" s="233" t="s">
        <v>116</v>
      </c>
      <c r="E45" s="234"/>
      <c r="F45" s="226" t="s">
        <v>19</v>
      </c>
      <c r="G45" s="227"/>
      <c r="H45" s="228" t="s">
        <v>58</v>
      </c>
      <c r="I45" s="227"/>
      <c r="J45" s="228" t="s">
        <v>59</v>
      </c>
      <c r="K45" s="227"/>
      <c r="L45" s="228" t="s">
        <v>60</v>
      </c>
      <c r="M45" s="227"/>
      <c r="N45" s="226" t="s">
        <v>61</v>
      </c>
      <c r="O45" s="225"/>
      <c r="P45" s="224" t="s">
        <v>62</v>
      </c>
      <c r="Q45" s="225"/>
      <c r="R45" s="224" t="s">
        <v>63</v>
      </c>
      <c r="S45" s="225"/>
      <c r="T45" s="224" t="s">
        <v>64</v>
      </c>
      <c r="U45" s="225"/>
      <c r="V45" s="224" t="s">
        <v>65</v>
      </c>
      <c r="W45" s="225"/>
      <c r="X45" s="224" t="s">
        <v>18</v>
      </c>
      <c r="Y45" s="225"/>
      <c r="Z45" s="224" t="s">
        <v>17</v>
      </c>
      <c r="AA45" s="225"/>
      <c r="AB45" s="224" t="s">
        <v>16</v>
      </c>
      <c r="AC45" s="225"/>
    </row>
    <row r="46" spans="1:34" s="5" customFormat="1" ht="20.100000000000001" customHeight="1" thickBot="1" x14ac:dyDescent="0.3">
      <c r="A46" s="14" t="s">
        <v>21</v>
      </c>
      <c r="B46" s="71" t="s">
        <v>20</v>
      </c>
      <c r="C46" s="110"/>
      <c r="D46" s="106" t="s">
        <v>56</v>
      </c>
      <c r="E46" s="18" t="s">
        <v>93</v>
      </c>
      <c r="F46" s="69" t="s">
        <v>56</v>
      </c>
      <c r="G46" s="81" t="s">
        <v>93</v>
      </c>
      <c r="H46" s="80" t="s">
        <v>56</v>
      </c>
      <c r="I46" s="81" t="s">
        <v>93</v>
      </c>
      <c r="J46" s="80" t="s">
        <v>56</v>
      </c>
      <c r="K46" s="81" t="s">
        <v>93</v>
      </c>
      <c r="L46" s="80" t="s">
        <v>56</v>
      </c>
      <c r="M46" s="81" t="s">
        <v>93</v>
      </c>
      <c r="N46" s="69" t="s">
        <v>56</v>
      </c>
      <c r="O46" s="52" t="s">
        <v>93</v>
      </c>
      <c r="P46" s="52" t="s">
        <v>56</v>
      </c>
      <c r="Q46" s="52" t="s">
        <v>93</v>
      </c>
      <c r="R46" s="52" t="s">
        <v>56</v>
      </c>
      <c r="S46" s="52" t="s">
        <v>93</v>
      </c>
      <c r="T46" s="52" t="s">
        <v>56</v>
      </c>
      <c r="U46" s="52" t="s">
        <v>93</v>
      </c>
      <c r="V46" s="52" t="s">
        <v>56</v>
      </c>
      <c r="W46" s="52" t="s">
        <v>93</v>
      </c>
      <c r="X46" s="52" t="s">
        <v>56</v>
      </c>
      <c r="Y46" s="52" t="s">
        <v>93</v>
      </c>
      <c r="Z46" s="52" t="s">
        <v>56</v>
      </c>
      <c r="AA46" s="52" t="s">
        <v>93</v>
      </c>
      <c r="AB46" s="52" t="s">
        <v>56</v>
      </c>
      <c r="AC46" s="52" t="s">
        <v>93</v>
      </c>
    </row>
    <row r="47" spans="1:34" s="5" customFormat="1" ht="20.100000000000001" customHeight="1" x14ac:dyDescent="0.25">
      <c r="A47" s="101">
        <v>1</v>
      </c>
      <c r="B47" s="102" t="s">
        <v>15</v>
      </c>
      <c r="C47" s="103"/>
      <c r="D47" s="104">
        <f>D22-D42</f>
        <v>276830.5</v>
      </c>
      <c r="E47" s="105">
        <f>E22</f>
        <v>214358</v>
      </c>
      <c r="F47" s="75">
        <f t="shared" ref="F47:J47" si="13">F22-F42</f>
        <v>289374</v>
      </c>
      <c r="G47" s="13">
        <f t="shared" si="13"/>
        <v>214898.87999999995</v>
      </c>
      <c r="H47" s="13">
        <f t="shared" si="13"/>
        <v>289216</v>
      </c>
      <c r="I47" s="13">
        <f t="shared" si="13"/>
        <v>212443.84</v>
      </c>
      <c r="J47" s="13">
        <f t="shared" si="13"/>
        <v>357264</v>
      </c>
      <c r="K47" s="13">
        <f t="shared" ref="K47:Q47" si="14">K22-K42</f>
        <v>257304.40000000002</v>
      </c>
      <c r="L47" s="13">
        <f t="shared" si="14"/>
        <v>246748</v>
      </c>
      <c r="M47" s="13">
        <f t="shared" si="14"/>
        <v>172616.8</v>
      </c>
      <c r="N47" s="75">
        <f t="shared" si="14"/>
        <v>352418</v>
      </c>
      <c r="O47" s="75">
        <f t="shared" si="14"/>
        <v>261198.15999999997</v>
      </c>
      <c r="P47" s="13">
        <f t="shared" si="14"/>
        <v>187932</v>
      </c>
      <c r="Q47" s="13">
        <f t="shared" si="14"/>
        <v>141642.96000000002</v>
      </c>
      <c r="R47" s="13">
        <f>R22-R42</f>
        <v>0</v>
      </c>
      <c r="S47" s="13"/>
      <c r="T47" s="13">
        <f>T22-T42</f>
        <v>0</v>
      </c>
      <c r="U47" s="13"/>
      <c r="V47" s="13">
        <f>V22-V42</f>
        <v>0</v>
      </c>
      <c r="W47" s="13"/>
      <c r="X47" s="13">
        <f>X22-X42</f>
        <v>0</v>
      </c>
      <c r="Y47" s="13"/>
      <c r="Z47" s="13">
        <f>Z22-Z42</f>
        <v>0</v>
      </c>
      <c r="AA47" s="13"/>
      <c r="AB47" s="13"/>
      <c r="AC47" s="13">
        <f>AC22-AC42</f>
        <v>0</v>
      </c>
    </row>
    <row r="48" spans="1:34" s="5" customFormat="1" ht="20.100000000000001" customHeight="1" thickBot="1" x14ac:dyDescent="0.3">
      <c r="A48" s="12">
        <v>2</v>
      </c>
      <c r="B48" s="72" t="s">
        <v>14</v>
      </c>
      <c r="C48" s="107"/>
      <c r="D48" s="108">
        <f>D42</f>
        <v>26626.5</v>
      </c>
      <c r="E48" s="109"/>
      <c r="F48" s="76">
        <f t="shared" ref="F48:J48" si="15">F42</f>
        <v>2693</v>
      </c>
      <c r="G48" s="11">
        <f t="shared" si="15"/>
        <v>2136.38</v>
      </c>
      <c r="H48" s="11">
        <f t="shared" si="15"/>
        <v>4378</v>
      </c>
      <c r="I48" s="11">
        <f t="shared" si="15"/>
        <v>3425.8</v>
      </c>
      <c r="J48" s="11">
        <f t="shared" si="15"/>
        <v>7860</v>
      </c>
      <c r="K48" s="11">
        <f t="shared" ref="K48:AF48" si="16">K42</f>
        <v>6360.24</v>
      </c>
      <c r="L48" s="11">
        <f t="shared" si="16"/>
        <v>3374</v>
      </c>
      <c r="M48" s="11">
        <f t="shared" si="16"/>
        <v>2678.48</v>
      </c>
      <c r="N48" s="76">
        <f t="shared" si="16"/>
        <v>14006</v>
      </c>
      <c r="O48" s="76">
        <f t="shared" si="16"/>
        <v>11136.8</v>
      </c>
      <c r="P48" s="11">
        <f t="shared" si="16"/>
        <v>4534</v>
      </c>
      <c r="Q48" s="11">
        <f t="shared" si="16"/>
        <v>4202.8</v>
      </c>
      <c r="R48" s="11">
        <f t="shared" si="16"/>
        <v>0</v>
      </c>
      <c r="S48" s="11">
        <f t="shared" si="16"/>
        <v>0</v>
      </c>
      <c r="T48" s="11">
        <f t="shared" si="16"/>
        <v>0</v>
      </c>
      <c r="U48" s="11">
        <f t="shared" si="16"/>
        <v>0</v>
      </c>
      <c r="V48" s="11">
        <f t="shared" si="16"/>
        <v>0</v>
      </c>
      <c r="W48" s="11">
        <f t="shared" si="16"/>
        <v>0</v>
      </c>
      <c r="X48" s="11">
        <f t="shared" si="16"/>
        <v>0</v>
      </c>
      <c r="Y48" s="11">
        <f t="shared" si="16"/>
        <v>0</v>
      </c>
      <c r="Z48" s="11">
        <f t="shared" si="16"/>
        <v>0</v>
      </c>
      <c r="AA48" s="11">
        <f t="shared" si="16"/>
        <v>0</v>
      </c>
      <c r="AB48" s="11">
        <f t="shared" si="16"/>
        <v>0</v>
      </c>
      <c r="AC48" s="11">
        <f t="shared" si="16"/>
        <v>0</v>
      </c>
      <c r="AD48" s="11">
        <f t="shared" si="16"/>
        <v>36845</v>
      </c>
      <c r="AE48" s="11">
        <f t="shared" si="16"/>
        <v>29940.500000000004</v>
      </c>
      <c r="AF48" s="11">
        <f t="shared" si="16"/>
        <v>7369</v>
      </c>
    </row>
    <row r="49" spans="1:34" s="5" customFormat="1" ht="20.100000000000001" customHeight="1" thickBot="1" x14ac:dyDescent="0.3">
      <c r="A49" s="202" t="s">
        <v>13</v>
      </c>
      <c r="B49" s="203"/>
      <c r="C49" s="111"/>
      <c r="D49" s="10">
        <f>SUM(D47:D48)</f>
        <v>303457</v>
      </c>
      <c r="E49" s="10">
        <f>SUM(E47:E48)</f>
        <v>214358</v>
      </c>
      <c r="F49" s="77">
        <f t="shared" ref="F49:Z49" si="17">SUM(F47:F48)</f>
        <v>292067</v>
      </c>
      <c r="G49" s="10">
        <f>SUM(G47:G48)</f>
        <v>217035.25999999995</v>
      </c>
      <c r="H49" s="10">
        <f>SUM(H47:H48)</f>
        <v>293594</v>
      </c>
      <c r="I49" s="10">
        <f>SUM(I47:I48)</f>
        <v>215869.63999999998</v>
      </c>
      <c r="J49" s="10">
        <f>SUM(J47:J48)</f>
        <v>365124</v>
      </c>
      <c r="K49" s="10">
        <f>SUM(K47:K48)</f>
        <v>263664.64000000001</v>
      </c>
      <c r="L49" s="10">
        <f t="shared" si="17"/>
        <v>250122</v>
      </c>
      <c r="M49" s="10">
        <f>SUM(M47:M48)</f>
        <v>175295.28</v>
      </c>
      <c r="N49" s="77">
        <f t="shared" si="17"/>
        <v>366424</v>
      </c>
      <c r="O49" s="77">
        <f t="shared" si="17"/>
        <v>272334.95999999996</v>
      </c>
      <c r="P49" s="10">
        <f t="shared" si="17"/>
        <v>192466</v>
      </c>
      <c r="Q49" s="10">
        <f t="shared" si="17"/>
        <v>145845.76000000001</v>
      </c>
      <c r="R49" s="10">
        <f t="shared" si="17"/>
        <v>0</v>
      </c>
      <c r="S49" s="10"/>
      <c r="T49" s="10">
        <f t="shared" si="17"/>
        <v>0</v>
      </c>
      <c r="U49" s="10"/>
      <c r="V49" s="10">
        <f t="shared" si="17"/>
        <v>0</v>
      </c>
      <c r="W49" s="10"/>
      <c r="X49" s="10">
        <f t="shared" si="17"/>
        <v>0</v>
      </c>
      <c r="Y49" s="10"/>
      <c r="Z49" s="10">
        <f t="shared" si="17"/>
        <v>0</v>
      </c>
      <c r="AA49" s="10"/>
      <c r="AB49" s="10"/>
      <c r="AC49" s="10">
        <f>SUM(AC47:AC48)</f>
        <v>0</v>
      </c>
    </row>
    <row r="50" spans="1:34" s="5" customFormat="1" ht="20.100000000000001" customHeight="1" x14ac:dyDescent="0.25">
      <c r="A50" s="9">
        <v>1</v>
      </c>
      <c r="B50" s="73" t="s">
        <v>12</v>
      </c>
      <c r="C50" s="97"/>
      <c r="D50" s="82">
        <f>D47/D49</f>
        <v>0.91225610218251685</v>
      </c>
      <c r="E50" s="99">
        <f>E47/E49</f>
        <v>1</v>
      </c>
      <c r="F50" s="78">
        <f>F47/F49</f>
        <v>0.99077951291998068</v>
      </c>
      <c r="G50" s="8">
        <f t="shared" ref="G50" si="18">G47/G49</f>
        <v>0.99015653032599404</v>
      </c>
      <c r="H50" s="8">
        <f>H47/H49</f>
        <v>0.98508825112229814</v>
      </c>
      <c r="I50" s="8">
        <f t="shared" ref="I50" si="19">I47/I49</f>
        <v>0.98413023711903169</v>
      </c>
      <c r="J50" s="8">
        <f t="shared" ref="J50:P50" si="20">J47/J49</f>
        <v>0.97847306668419498</v>
      </c>
      <c r="K50" s="8">
        <f>K47/K49</f>
        <v>0.97587753898285345</v>
      </c>
      <c r="L50" s="8">
        <f t="shared" si="20"/>
        <v>0.98651058283557624</v>
      </c>
      <c r="M50" s="8">
        <f>M47/M49</f>
        <v>0.98472018185543841</v>
      </c>
      <c r="N50" s="78">
        <f t="shared" si="20"/>
        <v>0.96177652118856849</v>
      </c>
      <c r="O50" s="78">
        <f t="shared" si="20"/>
        <v>0.95910624181339044</v>
      </c>
      <c r="P50" s="8">
        <f t="shared" si="20"/>
        <v>0.97644259245788867</v>
      </c>
      <c r="Q50" s="8">
        <f t="shared" ref="Q50:AF50" si="21">Q47/Q49</f>
        <v>0.97118325551596429</v>
      </c>
      <c r="R50" s="8" t="e">
        <f t="shared" si="21"/>
        <v>#DIV/0!</v>
      </c>
      <c r="S50" s="8" t="e">
        <f t="shared" si="21"/>
        <v>#DIV/0!</v>
      </c>
      <c r="T50" s="8" t="e">
        <f t="shared" si="21"/>
        <v>#DIV/0!</v>
      </c>
      <c r="U50" s="8" t="e">
        <f t="shared" si="21"/>
        <v>#DIV/0!</v>
      </c>
      <c r="V50" s="8" t="e">
        <f t="shared" si="21"/>
        <v>#DIV/0!</v>
      </c>
      <c r="W50" s="8" t="e">
        <f t="shared" si="21"/>
        <v>#DIV/0!</v>
      </c>
      <c r="X50" s="8" t="e">
        <f t="shared" si="21"/>
        <v>#DIV/0!</v>
      </c>
      <c r="Y50" s="8" t="e">
        <f t="shared" si="21"/>
        <v>#DIV/0!</v>
      </c>
      <c r="Z50" s="8" t="e">
        <f t="shared" si="21"/>
        <v>#DIV/0!</v>
      </c>
      <c r="AA50" s="8" t="e">
        <f t="shared" si="21"/>
        <v>#DIV/0!</v>
      </c>
      <c r="AB50" s="8" t="e">
        <f t="shared" si="21"/>
        <v>#DIV/0!</v>
      </c>
      <c r="AC50" s="8" t="e">
        <f t="shared" si="21"/>
        <v>#DIV/0!</v>
      </c>
      <c r="AD50" s="8" t="e">
        <f t="shared" si="21"/>
        <v>#DIV/0!</v>
      </c>
      <c r="AE50" s="8" t="e">
        <f t="shared" si="21"/>
        <v>#DIV/0!</v>
      </c>
      <c r="AF50" s="8" t="e">
        <f t="shared" si="21"/>
        <v>#DIV/0!</v>
      </c>
    </row>
    <row r="51" spans="1:34" s="5" customFormat="1" ht="20.100000000000001" customHeight="1" thickBot="1" x14ac:dyDescent="0.3">
      <c r="A51" s="7">
        <v>2</v>
      </c>
      <c r="B51" s="74" t="s">
        <v>11</v>
      </c>
      <c r="C51" s="98"/>
      <c r="D51" s="83">
        <f>D48/D49</f>
        <v>8.7743897817483207E-2</v>
      </c>
      <c r="E51" s="100">
        <f>E48/E49</f>
        <v>0</v>
      </c>
      <c r="F51" s="79">
        <f t="shared" ref="F51:P51" si="22">F48/F49</f>
        <v>9.2204870800193101E-3</v>
      </c>
      <c r="G51" s="6">
        <f t="shared" ref="G51" si="23">G48/G49</f>
        <v>9.8434696740059679E-3</v>
      </c>
      <c r="H51" s="6">
        <f t="shared" si="22"/>
        <v>1.491174887770186E-2</v>
      </c>
      <c r="I51" s="6">
        <f t="shared" ref="I51" si="24">I48/I49</f>
        <v>1.5869762880968349E-2</v>
      </c>
      <c r="J51" s="6">
        <f t="shared" si="22"/>
        <v>2.152693331580504E-2</v>
      </c>
      <c r="K51" s="6">
        <f t="shared" ref="K51" si="25">K48/K49</f>
        <v>2.4122461017146629E-2</v>
      </c>
      <c r="L51" s="6">
        <f t="shared" si="22"/>
        <v>1.3489417164423761E-2</v>
      </c>
      <c r="M51" s="6">
        <f>M48/M49</f>
        <v>1.5279818144561565E-2</v>
      </c>
      <c r="N51" s="79">
        <f t="shared" si="22"/>
        <v>3.8223478811431566E-2</v>
      </c>
      <c r="O51" s="79">
        <f t="shared" si="22"/>
        <v>4.0893758186609612E-2</v>
      </c>
      <c r="P51" s="6">
        <f t="shared" si="22"/>
        <v>2.3557407542111334E-2</v>
      </c>
      <c r="Q51" s="6">
        <f t="shared" ref="Q51:AF51" si="26">Q48/Q49</f>
        <v>2.8816744484035737E-2</v>
      </c>
      <c r="R51" s="6" t="e">
        <f t="shared" si="26"/>
        <v>#DIV/0!</v>
      </c>
      <c r="S51" s="6" t="e">
        <f t="shared" si="26"/>
        <v>#DIV/0!</v>
      </c>
      <c r="T51" s="6" t="e">
        <f t="shared" si="26"/>
        <v>#DIV/0!</v>
      </c>
      <c r="U51" s="6" t="e">
        <f t="shared" si="26"/>
        <v>#DIV/0!</v>
      </c>
      <c r="V51" s="6" t="e">
        <f t="shared" si="26"/>
        <v>#DIV/0!</v>
      </c>
      <c r="W51" s="6" t="e">
        <f t="shared" si="26"/>
        <v>#DIV/0!</v>
      </c>
      <c r="X51" s="6" t="e">
        <f t="shared" si="26"/>
        <v>#DIV/0!</v>
      </c>
      <c r="Y51" s="6" t="e">
        <f t="shared" si="26"/>
        <v>#DIV/0!</v>
      </c>
      <c r="Z51" s="6" t="e">
        <f t="shared" si="26"/>
        <v>#DIV/0!</v>
      </c>
      <c r="AA51" s="6" t="e">
        <f t="shared" si="26"/>
        <v>#DIV/0!</v>
      </c>
      <c r="AB51" s="6" t="e">
        <f t="shared" si="26"/>
        <v>#DIV/0!</v>
      </c>
      <c r="AC51" s="6" t="e">
        <f t="shared" si="26"/>
        <v>#DIV/0!</v>
      </c>
      <c r="AD51" s="6" t="e">
        <f t="shared" si="26"/>
        <v>#DIV/0!</v>
      </c>
      <c r="AE51" s="6" t="e">
        <f t="shared" si="26"/>
        <v>#DIV/0!</v>
      </c>
      <c r="AF51" s="6" t="e">
        <f t="shared" si="26"/>
        <v>#DIV/0!</v>
      </c>
    </row>
    <row r="53" spans="1:34" ht="23.1" customHeight="1" x14ac:dyDescent="0.25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34" ht="23.1" customHeight="1" x14ac:dyDescent="0.25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H54" s="36"/>
    </row>
    <row r="59" spans="1:34" ht="23.1" customHeight="1" x14ac:dyDescent="0.25">
      <c r="B59" s="3"/>
    </row>
  </sheetData>
  <mergeCells count="61">
    <mergeCell ref="J44:K44"/>
    <mergeCell ref="L44:M44"/>
    <mergeCell ref="D44:E44"/>
    <mergeCell ref="D45:E45"/>
    <mergeCell ref="D25:E25"/>
    <mergeCell ref="F44:G44"/>
    <mergeCell ref="H44:I44"/>
    <mergeCell ref="AB45:AC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D2:E3"/>
    <mergeCell ref="D24:E24"/>
    <mergeCell ref="Z3:AA3"/>
    <mergeCell ref="AB3:AC3"/>
    <mergeCell ref="F25:G25"/>
    <mergeCell ref="H25:I25"/>
    <mergeCell ref="J25:K25"/>
    <mergeCell ref="L25:M25"/>
    <mergeCell ref="N25:O25"/>
    <mergeCell ref="Z25:AA25"/>
    <mergeCell ref="AB25:AC25"/>
    <mergeCell ref="P25:Q25"/>
    <mergeCell ref="R25:S25"/>
    <mergeCell ref="T25:U25"/>
    <mergeCell ref="V25:W25"/>
    <mergeCell ref="X25:Y25"/>
    <mergeCell ref="T3:U3"/>
    <mergeCell ref="V3:W3"/>
    <mergeCell ref="X3:Y3"/>
    <mergeCell ref="F3:G3"/>
    <mergeCell ref="H3:I3"/>
    <mergeCell ref="J3:K3"/>
    <mergeCell ref="L3:M3"/>
    <mergeCell ref="N3:O3"/>
    <mergeCell ref="R3:S3"/>
    <mergeCell ref="P3:Q3"/>
    <mergeCell ref="AD3:AE3"/>
    <mergeCell ref="AD25:AE25"/>
    <mergeCell ref="A49:B49"/>
    <mergeCell ref="AH2:AH3"/>
    <mergeCell ref="A24:A25"/>
    <mergeCell ref="B24:B25"/>
    <mergeCell ref="C24:C25"/>
    <mergeCell ref="F24:AF24"/>
    <mergeCell ref="AG24:AG25"/>
    <mergeCell ref="AH24:AH25"/>
    <mergeCell ref="A2:A3"/>
    <mergeCell ref="B2:B3"/>
    <mergeCell ref="AG2:AG3"/>
    <mergeCell ref="C2:C3"/>
    <mergeCell ref="F2:AF2"/>
    <mergeCell ref="A44:C44"/>
  </mergeCells>
  <phoneticPr fontId="10" type="noConversion"/>
  <hyperlinks>
    <hyperlink ref="B5" location="'4-MawLaMyaing'!A1" display="Maw La Myaing" xr:uid="{119FF015-B74C-48AA-8229-8F81AD19A042}"/>
    <hyperlink ref="B6" location="'4-Hpa-An'!A1" display="Hpa-an" xr:uid="{8C11BAB4-FAEF-4E25-99B7-E73311BE23E1}"/>
    <hyperlink ref="B8" location="'4-Mu Don'!A1" display="Mudon" xr:uid="{041E60FB-E9B9-4CDD-917D-C094341E4217}"/>
    <hyperlink ref="B9" location="'4-ThaHtone'!A1" display="ThaHtone" xr:uid="{6D9072FD-58BE-41EE-A773-8F73F301DDB0}"/>
    <hyperlink ref="B10" location="'4-KawKariek'!A1" display="KawKareik" xr:uid="{D0134A72-4650-45EC-99BF-D5B2B10DE5F4}"/>
    <hyperlink ref="B11" location="'4-Yaye'!A1" display="Yay" xr:uid="{7AECC872-7974-447D-AAE8-DE9CB4D4B3E6}"/>
    <hyperlink ref="B12" location="'4-Phar Pon'!A1" display="Phar Pun" xr:uid="{DC4394A1-888B-43B6-B0FC-0F16B4A44591}"/>
    <hyperlink ref="B13" location="'4-Bagoda-3'!A1" display="Bagoda-3" xr:uid="{F45F18CD-0572-41EF-B660-06EF9EABA21A}"/>
    <hyperlink ref="B14" location="'4-Chang Sone'!A1" display="Chang Sone" xr:uid="{76547CE7-9B03-4AAD-A418-1BC26584F69B}"/>
    <hyperlink ref="B15" location="'4-Than Phyu Zayat'!A1" display="Than Phyu ZaYat" xr:uid="{7C2C3E1D-D647-4DBA-846A-2A4CEF57CA80}"/>
    <hyperlink ref="B7" location="'4-Paung'!A1" display="Paung" xr:uid="{FEF2C92E-C445-46E7-B8C8-4F4AAD8028CB}"/>
  </hyperlinks>
  <printOptions horizontalCentered="1"/>
  <pageMargins left="0.7" right="0.7" top="0.75" bottom="0.75" header="0.3" footer="0.3"/>
  <pageSetup scale="5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D4B3-ECFF-4AAB-BA28-DC4456FE0D47}">
  <sheetPr>
    <tabColor rgb="FFFF0000"/>
  </sheetPr>
  <dimension ref="A1:AQ104"/>
  <sheetViews>
    <sheetView topLeftCell="B1" zoomScaleNormal="100" workbookViewId="0">
      <pane xSplit="2" ySplit="4" topLeftCell="D72" activePane="bottomRight" state="frozen"/>
      <selection activeCell="AG56" sqref="AG56"/>
      <selection pane="topRight" activeCell="AG56" sqref="AG56"/>
      <selection pane="bottomLeft" activeCell="AG56" sqref="AG56"/>
      <selection pane="bottomRight" activeCell="I94" sqref="I94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7.28515625" style="42" bestFit="1" customWidth="1"/>
    <col min="6" max="7" width="7.140625" style="42" bestFit="1" customWidth="1"/>
    <col min="8" max="8" width="6.28515625" style="42" customWidth="1"/>
    <col min="9" max="10" width="7.140625" style="42" customWidth="1"/>
    <col min="11" max="11" width="6.28515625" style="42" customWidth="1"/>
    <col min="12" max="13" width="7.140625" style="42" customWidth="1"/>
    <col min="14" max="14" width="6.28515625" style="42" bestFit="1" customWidth="1"/>
    <col min="15" max="16" width="7.140625" style="42" bestFit="1" customWidth="1"/>
    <col min="17" max="17" width="6.28515625" style="42" bestFit="1" customWidth="1"/>
    <col min="18" max="19" width="7.140625" style="42" bestFit="1" customWidth="1"/>
    <col min="20" max="20" width="6.28515625" style="42" bestFit="1" customWidth="1"/>
    <col min="21" max="22" width="7.140625" style="42" bestFit="1" customWidth="1"/>
    <col min="23" max="23" width="6.28515625" style="42" bestFit="1" customWidth="1"/>
    <col min="24" max="25" width="7.140625" style="42" bestFit="1" customWidth="1"/>
    <col min="26" max="26" width="6.28515625" style="42" bestFit="1" customWidth="1"/>
    <col min="27" max="28" width="7.140625" style="42" bestFit="1" customWidth="1"/>
    <col min="29" max="29" width="6.28515625" style="42" bestFit="1" customWidth="1"/>
    <col min="30" max="31" width="7.140625" style="42" bestFit="1" customWidth="1"/>
    <col min="32" max="32" width="6.28515625" style="42" bestFit="1" customWidth="1"/>
    <col min="33" max="34" width="7.140625" style="42" bestFit="1" customWidth="1"/>
    <col min="35" max="35" width="6.28515625" style="42" bestFit="1" customWidth="1"/>
    <col min="36" max="37" width="7.140625" style="42" bestFit="1" customWidth="1"/>
    <col min="38" max="38" width="6.28515625" style="42" bestFit="1" customWidth="1"/>
    <col min="39" max="41" width="7.140625" style="42" bestFit="1" customWidth="1"/>
    <col min="42" max="43" width="8" style="42" bestFit="1" customWidth="1"/>
    <col min="44" max="16384" width="9.7109375" style="42"/>
  </cols>
  <sheetData>
    <row r="1" spans="1:43" x14ac:dyDescent="0.5">
      <c r="B1" s="41" t="s">
        <v>127</v>
      </c>
    </row>
    <row r="3" spans="1:43" x14ac:dyDescent="0.5">
      <c r="A3" s="245" t="s">
        <v>52</v>
      </c>
      <c r="B3" s="245" t="s">
        <v>51</v>
      </c>
      <c r="C3" s="247" t="s">
        <v>117</v>
      </c>
      <c r="D3" s="247" t="s">
        <v>95</v>
      </c>
      <c r="E3" s="236" t="s">
        <v>113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5">
      <c r="A4" s="246"/>
      <c r="B4" s="246"/>
      <c r="C4" s="248"/>
      <c r="D4" s="248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5">
      <c r="A5" s="29">
        <v>1</v>
      </c>
      <c r="B5" s="1" t="s">
        <v>67</v>
      </c>
      <c r="C5" s="34">
        <v>0.7</v>
      </c>
      <c r="D5" s="34" t="s">
        <v>96</v>
      </c>
      <c r="E5" s="29">
        <v>6</v>
      </c>
      <c r="F5" s="29">
        <v>72</v>
      </c>
      <c r="G5" s="29">
        <f>F5*C5</f>
        <v>50.4</v>
      </c>
      <c r="H5" s="29"/>
      <c r="I5" s="29">
        <v>0</v>
      </c>
      <c r="J5" s="29">
        <f>I5*C5</f>
        <v>0</v>
      </c>
      <c r="K5" s="29">
        <v>15</v>
      </c>
      <c r="L5" s="29">
        <v>180</v>
      </c>
      <c r="M5" s="29">
        <f>L5*C5</f>
        <v>125.99999999999999</v>
      </c>
      <c r="N5" s="29">
        <v>1</v>
      </c>
      <c r="O5" s="29">
        <v>12</v>
      </c>
      <c r="P5" s="29">
        <f>O5*C5</f>
        <v>8.3999999999999986</v>
      </c>
      <c r="Q5" s="29">
        <v>24</v>
      </c>
      <c r="R5" s="29">
        <v>288</v>
      </c>
      <c r="S5" s="29">
        <f>R5*C5</f>
        <v>201.6</v>
      </c>
      <c r="T5" s="29">
        <v>32</v>
      </c>
      <c r="U5" s="29">
        <v>384</v>
      </c>
      <c r="V5" s="29">
        <f>U5*C5</f>
        <v>268.79999999999995</v>
      </c>
      <c r="W5" s="29">
        <v>38</v>
      </c>
      <c r="X5" s="29">
        <v>456</v>
      </c>
      <c r="Y5" s="29">
        <f>X5*C5</f>
        <v>319.2</v>
      </c>
      <c r="Z5" s="29">
        <v>45</v>
      </c>
      <c r="AA5" s="29">
        <v>540</v>
      </c>
      <c r="AB5" s="29">
        <f>AA5*C5</f>
        <v>378</v>
      </c>
      <c r="AC5" s="29">
        <v>18</v>
      </c>
      <c r="AD5" s="29">
        <v>216</v>
      </c>
      <c r="AE5" s="29">
        <f>AD5*C5</f>
        <v>151.19999999999999</v>
      </c>
      <c r="AF5" s="29">
        <v>8</v>
      </c>
      <c r="AG5" s="29">
        <v>96</v>
      </c>
      <c r="AH5" s="29">
        <f>AG5*C5</f>
        <v>67.199999999999989</v>
      </c>
      <c r="AI5" s="29">
        <v>15</v>
      </c>
      <c r="AJ5" s="29">
        <v>180</v>
      </c>
      <c r="AK5" s="29">
        <f>AJ5*C5</f>
        <v>125.99999999999999</v>
      </c>
      <c r="AL5" s="29">
        <v>8</v>
      </c>
      <c r="AM5" s="29">
        <v>90</v>
      </c>
      <c r="AN5" s="29">
        <f>AM5*C5</f>
        <v>62.999999999999993</v>
      </c>
      <c r="AO5" s="29">
        <f>E5+H5+K5+N5+Q5+T5+W5+Z5+AC5+AF5+AI5+AL5</f>
        <v>210</v>
      </c>
      <c r="AP5" s="29">
        <f>F5+I5+L5+O5+R5+U5+X5+AA5+AD5+AG5+AJ5+AM5</f>
        <v>2514</v>
      </c>
      <c r="AQ5" s="29">
        <f>G5+J5+M5+P5+S5+V5+Y5+AB5+AE5+AH5+AK5+AN5</f>
        <v>1759.8</v>
      </c>
    </row>
    <row r="6" spans="1:43" x14ac:dyDescent="0.5">
      <c r="A6" s="29">
        <v>3</v>
      </c>
      <c r="B6" s="1" t="s">
        <v>69</v>
      </c>
      <c r="C6" s="30">
        <v>1</v>
      </c>
      <c r="D6" s="30" t="s">
        <v>96</v>
      </c>
      <c r="E6" s="29">
        <v>90</v>
      </c>
      <c r="F6" s="29">
        <v>1080</v>
      </c>
      <c r="G6" s="29">
        <f>F6*C6</f>
        <v>1080</v>
      </c>
      <c r="H6" s="29">
        <v>29</v>
      </c>
      <c r="I6" s="29">
        <v>348</v>
      </c>
      <c r="J6" s="29">
        <f t="shared" ref="J6:J18" si="0">I6*C6</f>
        <v>348</v>
      </c>
      <c r="K6" s="29">
        <v>149</v>
      </c>
      <c r="L6" s="29">
        <v>1788</v>
      </c>
      <c r="M6" s="29">
        <f t="shared" ref="M6:M18" si="1">L6*C6</f>
        <v>1788</v>
      </c>
      <c r="N6" s="29">
        <v>91</v>
      </c>
      <c r="O6" s="29">
        <v>1092</v>
      </c>
      <c r="P6" s="29">
        <f t="shared" ref="P6:P18" si="2">O6*C6</f>
        <v>1092</v>
      </c>
      <c r="Q6" s="29">
        <v>55</v>
      </c>
      <c r="R6" s="29">
        <v>660</v>
      </c>
      <c r="S6" s="29">
        <f t="shared" ref="S6:S18" si="3">R6*C6</f>
        <v>660</v>
      </c>
      <c r="T6" s="29">
        <v>51</v>
      </c>
      <c r="U6" s="29">
        <v>612</v>
      </c>
      <c r="V6" s="29">
        <f t="shared" ref="V6:V18" si="4">U6*C6</f>
        <v>612</v>
      </c>
      <c r="W6" s="29">
        <v>99</v>
      </c>
      <c r="X6" s="29">
        <v>1188</v>
      </c>
      <c r="Y6" s="29">
        <f t="shared" ref="Y6:Y18" si="5">X6*C6</f>
        <v>1188</v>
      </c>
      <c r="Z6" s="29">
        <v>80</v>
      </c>
      <c r="AA6" s="29">
        <v>960</v>
      </c>
      <c r="AB6" s="29">
        <f t="shared" ref="AB6:AB18" si="6">AA6*C6</f>
        <v>960</v>
      </c>
      <c r="AC6" s="29">
        <v>35</v>
      </c>
      <c r="AD6" s="29">
        <v>420</v>
      </c>
      <c r="AE6" s="29">
        <f t="shared" ref="AE6:AE18" si="7">AD6*C6</f>
        <v>420</v>
      </c>
      <c r="AF6" s="29">
        <v>100</v>
      </c>
      <c r="AG6" s="29">
        <v>1200</v>
      </c>
      <c r="AH6" s="29">
        <f t="shared" ref="AH6:AH18" si="8">AG6*C6</f>
        <v>1200</v>
      </c>
      <c r="AI6" s="29">
        <v>211</v>
      </c>
      <c r="AJ6" s="29">
        <v>2532</v>
      </c>
      <c r="AK6" s="29">
        <f t="shared" ref="AK6:AK18" si="9">AJ6*C6</f>
        <v>2532</v>
      </c>
      <c r="AL6" s="29">
        <v>136</v>
      </c>
      <c r="AM6" s="29">
        <v>1632</v>
      </c>
      <c r="AN6" s="29">
        <f t="shared" ref="AN6:AN18" si="10">AM6*C6</f>
        <v>1632</v>
      </c>
      <c r="AO6" s="29">
        <f t="shared" ref="AO6:AO18" si="11">E6+H6+K6+N6+Q6+T6+W6+Z6+AC6+AF6+AI6+AL6</f>
        <v>1126</v>
      </c>
      <c r="AP6" s="29">
        <f t="shared" ref="AP6:AP18" si="12">F6+I6+L6+O6+R6+U6+X6+AA6+AD6+AG6+AJ6+AM6</f>
        <v>13512</v>
      </c>
      <c r="AQ6" s="29">
        <f t="shared" ref="AQ6:AQ18" si="13">G6+J6+M6+P6+S6+V6+Y6+AB6+AE6+AH6+AK6+AN6</f>
        <v>13512</v>
      </c>
    </row>
    <row r="7" spans="1:43" x14ac:dyDescent="0.5">
      <c r="A7" s="29">
        <v>4</v>
      </c>
      <c r="B7" s="1" t="s">
        <v>70</v>
      </c>
      <c r="C7" s="30">
        <v>0.6</v>
      </c>
      <c r="D7" s="30" t="s">
        <v>96</v>
      </c>
      <c r="E7" s="29"/>
      <c r="F7" s="29"/>
      <c r="G7" s="29">
        <f t="shared" ref="G7:G18" si="14">F7*C7</f>
        <v>0</v>
      </c>
      <c r="H7" s="29"/>
      <c r="I7" s="29"/>
      <c r="J7" s="29">
        <f t="shared" si="0"/>
        <v>0</v>
      </c>
      <c r="K7" s="29"/>
      <c r="L7" s="29"/>
      <c r="M7" s="29">
        <f t="shared" si="1"/>
        <v>0</v>
      </c>
      <c r="N7" s="29"/>
      <c r="O7" s="29"/>
      <c r="P7" s="29">
        <f t="shared" si="2"/>
        <v>0</v>
      </c>
      <c r="Q7" s="29"/>
      <c r="R7" s="29"/>
      <c r="S7" s="29">
        <f t="shared" si="3"/>
        <v>0</v>
      </c>
      <c r="T7" s="29"/>
      <c r="U7" s="29"/>
      <c r="V7" s="29">
        <f t="shared" si="4"/>
        <v>0</v>
      </c>
      <c r="W7" s="29"/>
      <c r="X7" s="29"/>
      <c r="Y7" s="29">
        <f t="shared" si="5"/>
        <v>0</v>
      </c>
      <c r="Z7" s="29">
        <v>3</v>
      </c>
      <c r="AA7" s="29">
        <v>36</v>
      </c>
      <c r="AB7" s="29">
        <f t="shared" si="6"/>
        <v>21.599999999999998</v>
      </c>
      <c r="AC7" s="29"/>
      <c r="AD7" s="29"/>
      <c r="AE7" s="29">
        <f t="shared" si="7"/>
        <v>0</v>
      </c>
      <c r="AF7" s="29"/>
      <c r="AG7" s="29"/>
      <c r="AH7" s="29">
        <f t="shared" si="8"/>
        <v>0</v>
      </c>
      <c r="AI7" s="29"/>
      <c r="AJ7" s="29"/>
      <c r="AK7" s="29">
        <f t="shared" si="9"/>
        <v>0</v>
      </c>
      <c r="AL7" s="29"/>
      <c r="AM7" s="29"/>
      <c r="AN7" s="29">
        <f t="shared" si="10"/>
        <v>0</v>
      </c>
      <c r="AO7" s="29">
        <f t="shared" si="11"/>
        <v>3</v>
      </c>
      <c r="AP7" s="29">
        <f t="shared" si="12"/>
        <v>36</v>
      </c>
      <c r="AQ7" s="29">
        <f t="shared" si="13"/>
        <v>21.599999999999998</v>
      </c>
    </row>
    <row r="8" spans="1:43" x14ac:dyDescent="0.5">
      <c r="A8" s="29">
        <v>5</v>
      </c>
      <c r="B8" s="1" t="s">
        <v>71</v>
      </c>
      <c r="C8" s="30">
        <v>0.35</v>
      </c>
      <c r="D8" s="30" t="s">
        <v>97</v>
      </c>
      <c r="E8" s="29">
        <v>0</v>
      </c>
      <c r="F8" s="29"/>
      <c r="G8" s="29"/>
      <c r="H8" s="29"/>
      <c r="I8" s="29"/>
      <c r="J8" s="29"/>
      <c r="K8" s="29">
        <v>0</v>
      </c>
      <c r="L8" s="29"/>
      <c r="M8" s="29">
        <f t="shared" si="1"/>
        <v>0</v>
      </c>
      <c r="N8" s="29">
        <v>10</v>
      </c>
      <c r="O8" s="29">
        <v>400</v>
      </c>
      <c r="P8" s="29">
        <f t="shared" si="2"/>
        <v>140</v>
      </c>
      <c r="Q8" s="29">
        <v>0</v>
      </c>
      <c r="R8" s="29"/>
      <c r="S8" s="29">
        <f t="shared" si="3"/>
        <v>0</v>
      </c>
      <c r="T8" s="29">
        <v>0</v>
      </c>
      <c r="U8" s="29"/>
      <c r="V8" s="29">
        <f t="shared" si="4"/>
        <v>0</v>
      </c>
      <c r="W8" s="29"/>
      <c r="X8" s="29"/>
      <c r="Y8" s="29">
        <f t="shared" si="5"/>
        <v>0</v>
      </c>
      <c r="Z8" s="29"/>
      <c r="AA8" s="29"/>
      <c r="AB8" s="29">
        <f t="shared" si="6"/>
        <v>0</v>
      </c>
      <c r="AC8" s="29"/>
      <c r="AD8" s="29"/>
      <c r="AE8" s="29">
        <f t="shared" si="7"/>
        <v>0</v>
      </c>
      <c r="AF8" s="29"/>
      <c r="AG8" s="29"/>
      <c r="AH8" s="29">
        <f t="shared" si="8"/>
        <v>0</v>
      </c>
      <c r="AI8" s="29"/>
      <c r="AJ8" s="29"/>
      <c r="AK8" s="29">
        <f t="shared" si="9"/>
        <v>0</v>
      </c>
      <c r="AL8" s="29"/>
      <c r="AM8" s="29"/>
      <c r="AN8" s="29">
        <f t="shared" si="10"/>
        <v>0</v>
      </c>
      <c r="AO8" s="29">
        <f t="shared" si="11"/>
        <v>10</v>
      </c>
      <c r="AP8" s="29">
        <f t="shared" si="12"/>
        <v>400</v>
      </c>
      <c r="AQ8" s="29">
        <f t="shared" si="13"/>
        <v>140</v>
      </c>
    </row>
    <row r="9" spans="1:43" x14ac:dyDescent="0.5">
      <c r="A9" s="29">
        <v>6</v>
      </c>
      <c r="B9" s="1" t="s">
        <v>144</v>
      </c>
      <c r="C9" s="30">
        <v>0.64</v>
      </c>
      <c r="D9" s="30" t="s">
        <v>99</v>
      </c>
      <c r="E9" s="29">
        <v>1999</v>
      </c>
      <c r="F9" s="29">
        <v>27986</v>
      </c>
      <c r="G9" s="29">
        <f>F9*C9</f>
        <v>17911.04</v>
      </c>
      <c r="H9" s="29">
        <v>1435</v>
      </c>
      <c r="I9" s="29">
        <v>20090</v>
      </c>
      <c r="J9" s="29">
        <f t="shared" si="0"/>
        <v>12857.6</v>
      </c>
      <c r="K9" s="29">
        <v>2013</v>
      </c>
      <c r="L9" s="29">
        <v>28182</v>
      </c>
      <c r="M9" s="29">
        <f t="shared" si="1"/>
        <v>18036.48</v>
      </c>
      <c r="N9" s="29">
        <v>2113</v>
      </c>
      <c r="O9" s="29">
        <v>29582</v>
      </c>
      <c r="P9" s="29">
        <f t="shared" si="2"/>
        <v>18932.48</v>
      </c>
      <c r="Q9" s="29">
        <v>1910</v>
      </c>
      <c r="R9" s="29">
        <v>26740</v>
      </c>
      <c r="S9" s="29">
        <f t="shared" si="3"/>
        <v>17113.599999999999</v>
      </c>
      <c r="T9" s="29">
        <v>634</v>
      </c>
      <c r="U9" s="29">
        <v>31696</v>
      </c>
      <c r="V9" s="29">
        <f t="shared" si="4"/>
        <v>20285.439999999999</v>
      </c>
      <c r="W9" s="29">
        <v>599</v>
      </c>
      <c r="X9" s="29">
        <v>29932</v>
      </c>
      <c r="Y9" s="29">
        <f t="shared" si="5"/>
        <v>19156.48</v>
      </c>
      <c r="Z9" s="29">
        <v>2253</v>
      </c>
      <c r="AA9" s="29">
        <v>31542</v>
      </c>
      <c r="AB9" s="29">
        <f t="shared" si="6"/>
        <v>20186.88</v>
      </c>
      <c r="AC9" s="29">
        <v>1601</v>
      </c>
      <c r="AD9" s="29">
        <v>22414</v>
      </c>
      <c r="AE9" s="29">
        <f t="shared" si="7"/>
        <v>14344.960000000001</v>
      </c>
      <c r="AF9" s="29">
        <v>2782</v>
      </c>
      <c r="AG9" s="29">
        <v>38948</v>
      </c>
      <c r="AH9" s="29">
        <f t="shared" si="8"/>
        <v>24926.720000000001</v>
      </c>
      <c r="AI9" s="29">
        <v>1712</v>
      </c>
      <c r="AJ9" s="29">
        <v>23968</v>
      </c>
      <c r="AK9" s="29">
        <f t="shared" si="9"/>
        <v>15339.52</v>
      </c>
      <c r="AL9" s="29">
        <v>1855</v>
      </c>
      <c r="AM9" s="29">
        <v>25970</v>
      </c>
      <c r="AN9" s="29">
        <f t="shared" si="10"/>
        <v>16620.8</v>
      </c>
      <c r="AO9" s="29">
        <f t="shared" si="11"/>
        <v>20906</v>
      </c>
      <c r="AP9" s="29">
        <f t="shared" si="12"/>
        <v>337050</v>
      </c>
      <c r="AQ9" s="29">
        <f t="shared" si="13"/>
        <v>215711.99999999994</v>
      </c>
    </row>
    <row r="10" spans="1:43" x14ac:dyDescent="0.5">
      <c r="A10" s="29">
        <v>7</v>
      </c>
      <c r="B10" s="1" t="s">
        <v>74</v>
      </c>
      <c r="C10" s="30">
        <v>1</v>
      </c>
      <c r="D10" s="30" t="s">
        <v>96</v>
      </c>
      <c r="E10" s="29"/>
      <c r="F10" s="29"/>
      <c r="G10" s="29">
        <f>F10*C10</f>
        <v>0</v>
      </c>
      <c r="H10" s="29"/>
      <c r="I10" s="29"/>
      <c r="J10" s="29">
        <f t="shared" si="0"/>
        <v>0</v>
      </c>
      <c r="K10" s="29"/>
      <c r="L10" s="29"/>
      <c r="M10" s="29">
        <f t="shared" si="1"/>
        <v>0</v>
      </c>
      <c r="N10" s="29"/>
      <c r="O10" s="29"/>
      <c r="P10" s="29">
        <f t="shared" si="2"/>
        <v>0</v>
      </c>
      <c r="Q10" s="29"/>
      <c r="R10" s="29"/>
      <c r="S10" s="29">
        <f t="shared" si="3"/>
        <v>0</v>
      </c>
      <c r="T10" s="29"/>
      <c r="U10" s="29"/>
      <c r="V10" s="29">
        <f t="shared" si="4"/>
        <v>0</v>
      </c>
      <c r="W10" s="29"/>
      <c r="X10" s="29"/>
      <c r="Y10" s="29">
        <f t="shared" si="5"/>
        <v>0</v>
      </c>
      <c r="Z10" s="29"/>
      <c r="AA10" s="29"/>
      <c r="AB10" s="29">
        <f t="shared" si="6"/>
        <v>0</v>
      </c>
      <c r="AC10" s="29"/>
      <c r="AD10" s="29"/>
      <c r="AE10" s="29">
        <f t="shared" si="7"/>
        <v>0</v>
      </c>
      <c r="AF10" s="29"/>
      <c r="AG10" s="29"/>
      <c r="AH10" s="29">
        <f t="shared" si="8"/>
        <v>0</v>
      </c>
      <c r="AI10" s="29"/>
      <c r="AJ10" s="29"/>
      <c r="AK10" s="29">
        <f t="shared" si="9"/>
        <v>0</v>
      </c>
      <c r="AL10" s="29"/>
      <c r="AM10" s="29"/>
      <c r="AN10" s="29">
        <f t="shared" si="10"/>
        <v>0</v>
      </c>
      <c r="AO10" s="29">
        <f t="shared" si="11"/>
        <v>0</v>
      </c>
      <c r="AP10" s="29">
        <f t="shared" si="12"/>
        <v>0</v>
      </c>
      <c r="AQ10" s="29">
        <f t="shared" si="13"/>
        <v>0</v>
      </c>
    </row>
    <row r="11" spans="1:43" x14ac:dyDescent="0.5">
      <c r="A11" s="29">
        <v>8</v>
      </c>
      <c r="B11" s="1" t="s">
        <v>83</v>
      </c>
      <c r="C11" s="30">
        <v>1</v>
      </c>
      <c r="D11" s="30" t="s">
        <v>96</v>
      </c>
      <c r="E11" s="29">
        <v>402</v>
      </c>
      <c r="F11" s="29">
        <v>4824</v>
      </c>
      <c r="G11" s="29">
        <f t="shared" si="14"/>
        <v>4824</v>
      </c>
      <c r="H11" s="29">
        <v>375</v>
      </c>
      <c r="I11" s="29">
        <v>4500</v>
      </c>
      <c r="J11" s="29">
        <f t="shared" si="0"/>
        <v>4500</v>
      </c>
      <c r="K11" s="29">
        <v>165</v>
      </c>
      <c r="L11" s="29">
        <v>1980</v>
      </c>
      <c r="M11" s="29">
        <f t="shared" si="1"/>
        <v>1980</v>
      </c>
      <c r="N11" s="29">
        <v>591</v>
      </c>
      <c r="O11" s="29">
        <v>7092</v>
      </c>
      <c r="P11" s="29">
        <f t="shared" si="2"/>
        <v>7092</v>
      </c>
      <c r="Q11" s="29">
        <v>510</v>
      </c>
      <c r="R11" s="29">
        <v>6120</v>
      </c>
      <c r="S11" s="29">
        <f t="shared" si="3"/>
        <v>6120</v>
      </c>
      <c r="T11" s="29">
        <v>1080</v>
      </c>
      <c r="U11" s="29">
        <v>12960</v>
      </c>
      <c r="V11" s="29">
        <f t="shared" si="4"/>
        <v>12960</v>
      </c>
      <c r="W11" s="29">
        <v>905</v>
      </c>
      <c r="X11" s="29">
        <v>10860</v>
      </c>
      <c r="Y11" s="29">
        <f t="shared" si="5"/>
        <v>10860</v>
      </c>
      <c r="Z11" s="29">
        <v>700</v>
      </c>
      <c r="AA11" s="29">
        <v>8400</v>
      </c>
      <c r="AB11" s="29">
        <f t="shared" si="6"/>
        <v>8400</v>
      </c>
      <c r="AC11" s="29">
        <v>750</v>
      </c>
      <c r="AD11" s="29">
        <v>9000</v>
      </c>
      <c r="AE11" s="29">
        <f t="shared" si="7"/>
        <v>9000</v>
      </c>
      <c r="AF11" s="29">
        <v>1410</v>
      </c>
      <c r="AG11" s="29">
        <v>16920</v>
      </c>
      <c r="AH11" s="29">
        <f t="shared" si="8"/>
        <v>16920</v>
      </c>
      <c r="AI11" s="29">
        <v>1012</v>
      </c>
      <c r="AJ11" s="29">
        <v>12144</v>
      </c>
      <c r="AK11" s="29">
        <f t="shared" si="9"/>
        <v>12144</v>
      </c>
      <c r="AL11" s="29">
        <v>1253</v>
      </c>
      <c r="AM11" s="29">
        <v>15036</v>
      </c>
      <c r="AN11" s="29">
        <f t="shared" si="10"/>
        <v>15036</v>
      </c>
      <c r="AO11" s="29">
        <f t="shared" si="11"/>
        <v>9153</v>
      </c>
      <c r="AP11" s="29">
        <f t="shared" si="12"/>
        <v>109836</v>
      </c>
      <c r="AQ11" s="29">
        <f t="shared" si="13"/>
        <v>109836</v>
      </c>
    </row>
    <row r="12" spans="1:43" x14ac:dyDescent="0.5">
      <c r="A12" s="29">
        <v>9</v>
      </c>
      <c r="B12" s="1" t="s">
        <v>89</v>
      </c>
      <c r="C12" s="30">
        <v>0.64</v>
      </c>
      <c r="D12" s="30" t="s">
        <v>99</v>
      </c>
      <c r="E12" s="29">
        <v>105</v>
      </c>
      <c r="F12" s="29">
        <v>1470</v>
      </c>
      <c r="G12" s="29">
        <f t="shared" si="14"/>
        <v>940.80000000000007</v>
      </c>
      <c r="H12" s="29">
        <v>102</v>
      </c>
      <c r="I12" s="29">
        <v>1428</v>
      </c>
      <c r="J12" s="29">
        <f t="shared" si="0"/>
        <v>913.92000000000007</v>
      </c>
      <c r="K12" s="29">
        <v>120</v>
      </c>
      <c r="L12" s="29">
        <v>1680</v>
      </c>
      <c r="M12" s="29">
        <f t="shared" si="1"/>
        <v>1075.2</v>
      </c>
      <c r="N12" s="29">
        <v>200</v>
      </c>
      <c r="O12" s="29">
        <v>2800</v>
      </c>
      <c r="P12" s="29">
        <f t="shared" si="2"/>
        <v>1792</v>
      </c>
      <c r="Q12" s="29">
        <v>110</v>
      </c>
      <c r="R12" s="29">
        <v>1540</v>
      </c>
      <c r="S12" s="29">
        <f t="shared" si="3"/>
        <v>985.6</v>
      </c>
      <c r="T12" s="29">
        <v>145</v>
      </c>
      <c r="U12" s="29">
        <v>2030</v>
      </c>
      <c r="V12" s="29">
        <f t="shared" si="4"/>
        <v>1299.2</v>
      </c>
      <c r="W12" s="29">
        <v>125</v>
      </c>
      <c r="X12" s="29">
        <v>1750</v>
      </c>
      <c r="Y12" s="29">
        <f t="shared" si="5"/>
        <v>1120</v>
      </c>
      <c r="Z12" s="29">
        <v>180</v>
      </c>
      <c r="AA12" s="29">
        <v>2520</v>
      </c>
      <c r="AB12" s="29">
        <f t="shared" si="6"/>
        <v>1612.8</v>
      </c>
      <c r="AC12" s="29">
        <v>60</v>
      </c>
      <c r="AD12" s="29">
        <v>840</v>
      </c>
      <c r="AE12" s="29">
        <f t="shared" si="7"/>
        <v>537.6</v>
      </c>
      <c r="AF12" s="29">
        <v>110</v>
      </c>
      <c r="AG12" s="29">
        <v>1540</v>
      </c>
      <c r="AH12" s="29">
        <f t="shared" si="8"/>
        <v>985.6</v>
      </c>
      <c r="AI12" s="29">
        <v>175</v>
      </c>
      <c r="AJ12" s="29">
        <v>2450</v>
      </c>
      <c r="AK12" s="29">
        <f t="shared" si="9"/>
        <v>1568</v>
      </c>
      <c r="AL12" s="29">
        <v>100</v>
      </c>
      <c r="AM12" s="29">
        <v>1400</v>
      </c>
      <c r="AN12" s="29">
        <f t="shared" si="10"/>
        <v>896</v>
      </c>
      <c r="AO12" s="29">
        <f t="shared" si="11"/>
        <v>1532</v>
      </c>
      <c r="AP12" s="29">
        <f t="shared" si="12"/>
        <v>21448</v>
      </c>
      <c r="AQ12" s="29">
        <f t="shared" si="13"/>
        <v>13726.720000000001</v>
      </c>
    </row>
    <row r="13" spans="1:43" x14ac:dyDescent="0.5">
      <c r="A13" s="29">
        <v>10</v>
      </c>
      <c r="B13" s="1" t="s">
        <v>88</v>
      </c>
      <c r="C13" s="30">
        <v>0.64</v>
      </c>
      <c r="D13" s="30" t="s">
        <v>99</v>
      </c>
      <c r="E13" s="29">
        <v>384</v>
      </c>
      <c r="F13" s="29">
        <v>5376</v>
      </c>
      <c r="G13" s="29">
        <f t="shared" si="14"/>
        <v>3440.64</v>
      </c>
      <c r="H13" s="29">
        <v>406</v>
      </c>
      <c r="I13" s="29">
        <v>5684</v>
      </c>
      <c r="J13" s="29">
        <f t="shared" si="0"/>
        <v>3637.76</v>
      </c>
      <c r="K13" s="29">
        <v>390</v>
      </c>
      <c r="L13" s="29">
        <v>5460</v>
      </c>
      <c r="M13" s="29">
        <f t="shared" si="1"/>
        <v>3494.4</v>
      </c>
      <c r="N13" s="29">
        <v>512</v>
      </c>
      <c r="O13" s="29">
        <v>7168</v>
      </c>
      <c r="P13" s="29">
        <f t="shared" si="2"/>
        <v>4587.5200000000004</v>
      </c>
      <c r="Q13" s="29">
        <v>476</v>
      </c>
      <c r="R13" s="29">
        <v>6664</v>
      </c>
      <c r="S13" s="29">
        <f t="shared" si="3"/>
        <v>4264.96</v>
      </c>
      <c r="T13" s="29">
        <v>611</v>
      </c>
      <c r="U13" s="29">
        <v>8554</v>
      </c>
      <c r="V13" s="29">
        <f t="shared" si="4"/>
        <v>5474.56</v>
      </c>
      <c r="W13" s="29">
        <v>348</v>
      </c>
      <c r="X13" s="29">
        <v>4872</v>
      </c>
      <c r="Y13" s="29">
        <f t="shared" si="5"/>
        <v>3118.08</v>
      </c>
      <c r="Z13" s="29">
        <v>936</v>
      </c>
      <c r="AA13" s="29">
        <v>13104</v>
      </c>
      <c r="AB13" s="29">
        <f t="shared" si="6"/>
        <v>8386.56</v>
      </c>
      <c r="AC13" s="29">
        <v>205</v>
      </c>
      <c r="AD13" s="29">
        <v>2870</v>
      </c>
      <c r="AE13" s="29">
        <f t="shared" si="7"/>
        <v>1836.8</v>
      </c>
      <c r="AF13" s="29">
        <v>511</v>
      </c>
      <c r="AG13" s="29">
        <v>7154</v>
      </c>
      <c r="AH13" s="29">
        <f t="shared" si="8"/>
        <v>4578.5600000000004</v>
      </c>
      <c r="AI13" s="29">
        <v>490</v>
      </c>
      <c r="AJ13" s="29">
        <v>6860</v>
      </c>
      <c r="AK13" s="29">
        <f t="shared" si="9"/>
        <v>4390.4000000000005</v>
      </c>
      <c r="AL13" s="29">
        <v>816</v>
      </c>
      <c r="AM13" s="29">
        <v>11424</v>
      </c>
      <c r="AN13" s="29">
        <v>7311.3600000000015</v>
      </c>
      <c r="AO13" s="29">
        <f t="shared" si="11"/>
        <v>6085</v>
      </c>
      <c r="AP13" s="29">
        <f t="shared" si="12"/>
        <v>85190</v>
      </c>
      <c r="AQ13" s="29">
        <f t="shared" si="13"/>
        <v>54521.599999999999</v>
      </c>
    </row>
    <row r="14" spans="1:43" x14ac:dyDescent="0.5">
      <c r="A14" s="29">
        <v>11</v>
      </c>
      <c r="B14" s="30" t="s">
        <v>90</v>
      </c>
      <c r="C14" s="30">
        <v>1</v>
      </c>
      <c r="D14" s="30" t="s">
        <v>96</v>
      </c>
      <c r="E14" s="29">
        <v>2</v>
      </c>
      <c r="F14" s="29">
        <v>24</v>
      </c>
      <c r="G14" s="29">
        <f t="shared" si="14"/>
        <v>24</v>
      </c>
      <c r="H14" s="29">
        <v>21</v>
      </c>
      <c r="I14" s="29">
        <v>252</v>
      </c>
      <c r="J14" s="29">
        <f t="shared" si="0"/>
        <v>252</v>
      </c>
      <c r="K14" s="29">
        <v>2</v>
      </c>
      <c r="L14" s="29">
        <v>24</v>
      </c>
      <c r="M14" s="29">
        <f t="shared" si="1"/>
        <v>24</v>
      </c>
      <c r="N14" s="29">
        <v>2</v>
      </c>
      <c r="O14" s="29">
        <v>24</v>
      </c>
      <c r="P14" s="29">
        <f t="shared" si="2"/>
        <v>24</v>
      </c>
      <c r="Q14" s="29">
        <v>2</v>
      </c>
      <c r="R14" s="29">
        <v>24</v>
      </c>
      <c r="S14" s="29">
        <f t="shared" si="3"/>
        <v>24</v>
      </c>
      <c r="T14" s="29">
        <v>3</v>
      </c>
      <c r="U14" s="29">
        <v>36</v>
      </c>
      <c r="V14" s="29">
        <f t="shared" si="4"/>
        <v>36</v>
      </c>
      <c r="W14" s="29">
        <v>2</v>
      </c>
      <c r="X14" s="29">
        <v>24</v>
      </c>
      <c r="Y14" s="29">
        <f t="shared" si="5"/>
        <v>24</v>
      </c>
      <c r="Z14" s="29">
        <v>18</v>
      </c>
      <c r="AA14" s="29">
        <v>216</v>
      </c>
      <c r="AB14" s="29">
        <f t="shared" si="6"/>
        <v>216</v>
      </c>
      <c r="AC14" s="29">
        <v>10</v>
      </c>
      <c r="AD14" s="29">
        <v>120</v>
      </c>
      <c r="AE14" s="29">
        <f t="shared" si="7"/>
        <v>120</v>
      </c>
      <c r="AF14" s="29">
        <v>15</v>
      </c>
      <c r="AG14" s="29">
        <v>180</v>
      </c>
      <c r="AH14" s="29">
        <f t="shared" si="8"/>
        <v>180</v>
      </c>
      <c r="AI14" s="29">
        <v>11</v>
      </c>
      <c r="AJ14" s="29">
        <v>132</v>
      </c>
      <c r="AK14" s="29">
        <f t="shared" si="9"/>
        <v>132</v>
      </c>
      <c r="AL14" s="29">
        <v>35</v>
      </c>
      <c r="AM14" s="29">
        <v>420</v>
      </c>
      <c r="AN14" s="29">
        <f t="shared" si="10"/>
        <v>420</v>
      </c>
      <c r="AO14" s="29">
        <f t="shared" si="11"/>
        <v>123</v>
      </c>
      <c r="AP14" s="29">
        <f t="shared" si="12"/>
        <v>1476</v>
      </c>
      <c r="AQ14" s="29">
        <f t="shared" si="13"/>
        <v>1476</v>
      </c>
    </row>
    <row r="15" spans="1:43" x14ac:dyDescent="0.5">
      <c r="A15" s="29">
        <v>12</v>
      </c>
      <c r="B15" s="30" t="s">
        <v>91</v>
      </c>
      <c r="C15" s="1">
        <v>0.64</v>
      </c>
      <c r="D15" s="1" t="s">
        <v>99</v>
      </c>
      <c r="E15" s="29">
        <v>28</v>
      </c>
      <c r="F15" s="29">
        <v>392</v>
      </c>
      <c r="G15" s="29">
        <f t="shared" si="14"/>
        <v>250.88</v>
      </c>
      <c r="H15" s="29">
        <v>18</v>
      </c>
      <c r="I15" s="29">
        <v>252</v>
      </c>
      <c r="J15" s="29">
        <f t="shared" si="0"/>
        <v>161.28</v>
      </c>
      <c r="K15" s="29">
        <v>19</v>
      </c>
      <c r="L15" s="29">
        <v>266</v>
      </c>
      <c r="M15" s="29">
        <f t="shared" si="1"/>
        <v>170.24</v>
      </c>
      <c r="N15" s="29">
        <v>34</v>
      </c>
      <c r="O15" s="29">
        <v>476</v>
      </c>
      <c r="P15" s="29">
        <f t="shared" si="2"/>
        <v>304.64</v>
      </c>
      <c r="Q15" s="29">
        <v>20</v>
      </c>
      <c r="R15" s="29">
        <v>280</v>
      </c>
      <c r="S15" s="29">
        <f t="shared" si="3"/>
        <v>179.20000000000002</v>
      </c>
      <c r="T15" s="29">
        <v>36</v>
      </c>
      <c r="U15" s="29">
        <v>504</v>
      </c>
      <c r="V15" s="29">
        <f t="shared" si="4"/>
        <v>322.56</v>
      </c>
      <c r="W15" s="29">
        <v>37</v>
      </c>
      <c r="X15" s="29">
        <v>518</v>
      </c>
      <c r="Y15" s="29">
        <f t="shared" si="5"/>
        <v>331.52</v>
      </c>
      <c r="Z15" s="29"/>
      <c r="AA15" s="29">
        <v>0</v>
      </c>
      <c r="AB15" s="29">
        <f t="shared" si="6"/>
        <v>0</v>
      </c>
      <c r="AC15" s="29">
        <v>11</v>
      </c>
      <c r="AD15" s="29">
        <v>154</v>
      </c>
      <c r="AE15" s="29">
        <f t="shared" si="7"/>
        <v>98.56</v>
      </c>
      <c r="AF15" s="29">
        <v>14</v>
      </c>
      <c r="AG15" s="29">
        <v>196</v>
      </c>
      <c r="AH15" s="29">
        <f t="shared" si="8"/>
        <v>125.44</v>
      </c>
      <c r="AI15" s="29">
        <v>26</v>
      </c>
      <c r="AJ15" s="29">
        <v>364</v>
      </c>
      <c r="AK15" s="29">
        <f t="shared" si="9"/>
        <v>232.96</v>
      </c>
      <c r="AL15" s="29">
        <v>10</v>
      </c>
      <c r="AM15" s="29">
        <v>140</v>
      </c>
      <c r="AN15" s="29">
        <f t="shared" si="10"/>
        <v>89.600000000000009</v>
      </c>
      <c r="AO15" s="29">
        <f t="shared" si="11"/>
        <v>253</v>
      </c>
      <c r="AP15" s="29">
        <f t="shared" si="12"/>
        <v>3542</v>
      </c>
      <c r="AQ15" s="29">
        <f t="shared" si="13"/>
        <v>2266.8799999999997</v>
      </c>
    </row>
    <row r="16" spans="1:43" x14ac:dyDescent="0.5">
      <c r="A16" s="29">
        <v>13</v>
      </c>
      <c r="B16" s="30" t="s">
        <v>92</v>
      </c>
      <c r="C16" s="30">
        <v>0.64</v>
      </c>
      <c r="D16" s="30" t="s">
        <v>98</v>
      </c>
      <c r="E16" s="29">
        <v>624</v>
      </c>
      <c r="F16" s="29">
        <v>14976</v>
      </c>
      <c r="G16" s="29">
        <f t="shared" si="14"/>
        <v>9584.64</v>
      </c>
      <c r="H16" s="29">
        <v>540</v>
      </c>
      <c r="I16" s="29">
        <v>12960</v>
      </c>
      <c r="J16" s="29">
        <f t="shared" si="0"/>
        <v>8294.4</v>
      </c>
      <c r="K16" s="29">
        <v>599</v>
      </c>
      <c r="L16" s="29">
        <v>14376</v>
      </c>
      <c r="M16" s="29">
        <f t="shared" si="1"/>
        <v>9200.64</v>
      </c>
      <c r="N16" s="29">
        <v>520</v>
      </c>
      <c r="O16" s="29">
        <v>12480</v>
      </c>
      <c r="P16" s="29">
        <f t="shared" si="2"/>
        <v>7987.2</v>
      </c>
      <c r="Q16" s="29">
        <v>895</v>
      </c>
      <c r="R16" s="29">
        <v>21480</v>
      </c>
      <c r="S16" s="29">
        <f t="shared" si="3"/>
        <v>13747.2</v>
      </c>
      <c r="T16" s="29">
        <v>620</v>
      </c>
      <c r="U16" s="29">
        <v>14880</v>
      </c>
      <c r="V16" s="29">
        <f t="shared" si="4"/>
        <v>9523.2000000000007</v>
      </c>
      <c r="W16" s="29">
        <v>600</v>
      </c>
      <c r="X16" s="29">
        <v>14400</v>
      </c>
      <c r="Y16" s="29">
        <f t="shared" si="5"/>
        <v>9216</v>
      </c>
      <c r="Z16" s="29">
        <v>585</v>
      </c>
      <c r="AA16" s="29">
        <v>14040</v>
      </c>
      <c r="AB16" s="29">
        <f t="shared" si="6"/>
        <v>8985.6</v>
      </c>
      <c r="AC16" s="29">
        <v>710</v>
      </c>
      <c r="AD16" s="29">
        <v>17040</v>
      </c>
      <c r="AE16" s="29">
        <f t="shared" si="7"/>
        <v>10905.6</v>
      </c>
      <c r="AF16" s="29">
        <v>705</v>
      </c>
      <c r="AG16" s="29">
        <v>16920</v>
      </c>
      <c r="AH16" s="29">
        <f t="shared" si="8"/>
        <v>10828.800000000001</v>
      </c>
      <c r="AI16" s="29">
        <v>640</v>
      </c>
      <c r="AJ16" s="29">
        <v>15360</v>
      </c>
      <c r="AK16" s="29">
        <f t="shared" si="9"/>
        <v>9830.4</v>
      </c>
      <c r="AL16" s="29">
        <v>600</v>
      </c>
      <c r="AM16" s="29">
        <v>14400</v>
      </c>
      <c r="AN16" s="29">
        <f t="shared" si="10"/>
        <v>9216</v>
      </c>
      <c r="AO16" s="29">
        <f t="shared" si="11"/>
        <v>7638</v>
      </c>
      <c r="AP16" s="29">
        <f t="shared" si="12"/>
        <v>183312</v>
      </c>
      <c r="AQ16" s="29">
        <f t="shared" si="13"/>
        <v>117319.68000000001</v>
      </c>
    </row>
    <row r="17" spans="1:43" x14ac:dyDescent="0.5">
      <c r="A17" s="29">
        <v>14</v>
      </c>
      <c r="B17" s="30" t="s">
        <v>9</v>
      </c>
      <c r="C17" s="30">
        <v>0.64</v>
      </c>
      <c r="D17" s="30" t="s">
        <v>99</v>
      </c>
      <c r="E17" s="84"/>
      <c r="F17" s="84">
        <v>0</v>
      </c>
      <c r="G17" s="29">
        <f t="shared" si="14"/>
        <v>0</v>
      </c>
      <c r="H17" s="29"/>
      <c r="I17" s="29">
        <v>0</v>
      </c>
      <c r="J17" s="29">
        <f t="shared" si="0"/>
        <v>0</v>
      </c>
      <c r="K17" s="29"/>
      <c r="L17" s="29">
        <v>0</v>
      </c>
      <c r="M17" s="29">
        <f t="shared" si="1"/>
        <v>0</v>
      </c>
      <c r="N17" s="29">
        <v>162</v>
      </c>
      <c r="O17" s="29">
        <v>2268</v>
      </c>
      <c r="P17" s="29">
        <f t="shared" si="2"/>
        <v>1451.52</v>
      </c>
      <c r="Q17" s="29"/>
      <c r="R17" s="29">
        <v>0</v>
      </c>
      <c r="S17" s="29">
        <f t="shared" si="3"/>
        <v>0</v>
      </c>
      <c r="T17" s="84"/>
      <c r="U17" s="84">
        <v>0</v>
      </c>
      <c r="V17" s="29">
        <f t="shared" si="4"/>
        <v>0</v>
      </c>
      <c r="W17" s="84"/>
      <c r="X17" s="84">
        <v>0</v>
      </c>
      <c r="Y17" s="29">
        <f t="shared" si="5"/>
        <v>0</v>
      </c>
      <c r="Z17" s="84"/>
      <c r="AA17" s="84">
        <v>0</v>
      </c>
      <c r="AB17" s="29">
        <f t="shared" si="6"/>
        <v>0</v>
      </c>
      <c r="AC17" s="84"/>
      <c r="AD17" s="84">
        <v>0</v>
      </c>
      <c r="AE17" s="29">
        <f t="shared" si="7"/>
        <v>0</v>
      </c>
      <c r="AF17" s="84"/>
      <c r="AG17" s="84">
        <v>0</v>
      </c>
      <c r="AH17" s="29">
        <f t="shared" si="8"/>
        <v>0</v>
      </c>
      <c r="AI17" s="84">
        <v>10</v>
      </c>
      <c r="AJ17" s="84">
        <v>140</v>
      </c>
      <c r="AK17" s="29">
        <f t="shared" si="9"/>
        <v>89.600000000000009</v>
      </c>
      <c r="AL17" s="84">
        <v>25</v>
      </c>
      <c r="AM17" s="84">
        <v>350</v>
      </c>
      <c r="AN17" s="29">
        <f t="shared" si="10"/>
        <v>224</v>
      </c>
      <c r="AO17" s="29">
        <f t="shared" si="11"/>
        <v>197</v>
      </c>
      <c r="AP17" s="29">
        <f t="shared" si="12"/>
        <v>2758</v>
      </c>
      <c r="AQ17" s="29">
        <f t="shared" si="13"/>
        <v>1765.12</v>
      </c>
    </row>
    <row r="18" spans="1:43" x14ac:dyDescent="0.5">
      <c r="A18" s="29">
        <v>15</v>
      </c>
      <c r="B18" s="30" t="s">
        <v>8</v>
      </c>
      <c r="C18" s="30">
        <v>0.7</v>
      </c>
      <c r="D18" s="1" t="s">
        <v>96</v>
      </c>
      <c r="E18" s="84"/>
      <c r="F18" s="84">
        <v>2</v>
      </c>
      <c r="G18" s="29">
        <f t="shared" si="14"/>
        <v>1.4</v>
      </c>
      <c r="H18" s="29"/>
      <c r="I18" s="29">
        <v>0</v>
      </c>
      <c r="J18" s="29">
        <f t="shared" si="0"/>
        <v>0</v>
      </c>
      <c r="K18" s="29"/>
      <c r="L18" s="29">
        <v>0</v>
      </c>
      <c r="M18" s="29">
        <f t="shared" si="1"/>
        <v>0</v>
      </c>
      <c r="N18" s="29"/>
      <c r="O18" s="29">
        <v>0</v>
      </c>
      <c r="P18" s="29">
        <f t="shared" si="2"/>
        <v>0</v>
      </c>
      <c r="Q18" s="29">
        <v>1.5</v>
      </c>
      <c r="R18" s="29">
        <v>17</v>
      </c>
      <c r="S18" s="29">
        <f t="shared" si="3"/>
        <v>11.899999999999999</v>
      </c>
      <c r="T18" s="84">
        <v>5</v>
      </c>
      <c r="U18" s="84">
        <v>60</v>
      </c>
      <c r="V18" s="29">
        <f t="shared" si="4"/>
        <v>42</v>
      </c>
      <c r="W18" s="84">
        <v>5</v>
      </c>
      <c r="X18" s="84">
        <v>60</v>
      </c>
      <c r="Y18" s="29">
        <f t="shared" si="5"/>
        <v>42</v>
      </c>
      <c r="Z18" s="84">
        <v>17</v>
      </c>
      <c r="AA18" s="84">
        <v>204</v>
      </c>
      <c r="AB18" s="29">
        <f t="shared" si="6"/>
        <v>142.79999999999998</v>
      </c>
      <c r="AC18" s="84">
        <v>3.5</v>
      </c>
      <c r="AD18" s="84">
        <v>41</v>
      </c>
      <c r="AE18" s="29">
        <f t="shared" si="7"/>
        <v>28.7</v>
      </c>
      <c r="AF18" s="84">
        <v>4.5999999999999996</v>
      </c>
      <c r="AG18" s="84">
        <v>54</v>
      </c>
      <c r="AH18" s="29">
        <f t="shared" si="8"/>
        <v>37.799999999999997</v>
      </c>
      <c r="AI18" s="84">
        <v>5</v>
      </c>
      <c r="AJ18" s="84">
        <v>66</v>
      </c>
      <c r="AK18" s="29">
        <f t="shared" si="9"/>
        <v>46.199999999999996</v>
      </c>
      <c r="AL18" s="84">
        <v>3</v>
      </c>
      <c r="AM18" s="84">
        <v>41</v>
      </c>
      <c r="AN18" s="29">
        <f t="shared" si="10"/>
        <v>28.7</v>
      </c>
      <c r="AO18" s="29">
        <f t="shared" si="11"/>
        <v>44.6</v>
      </c>
      <c r="AP18" s="29">
        <f t="shared" si="12"/>
        <v>545</v>
      </c>
      <c r="AQ18" s="29">
        <f t="shared" si="13"/>
        <v>381.49999999999994</v>
      </c>
    </row>
    <row r="19" spans="1:43" x14ac:dyDescent="0.5">
      <c r="A19" s="24"/>
      <c r="B19" s="239" t="s">
        <v>10</v>
      </c>
      <c r="C19" s="240"/>
      <c r="D19" s="241"/>
      <c r="E19" s="22">
        <f t="shared" ref="E19:AQ19" si="15">SUM(E5:E18)</f>
        <v>3640</v>
      </c>
      <c r="F19" s="22">
        <f t="shared" si="15"/>
        <v>56202</v>
      </c>
      <c r="G19" s="22">
        <f t="shared" si="15"/>
        <v>38107.800000000003</v>
      </c>
      <c r="H19" s="22">
        <f t="shared" si="15"/>
        <v>2926</v>
      </c>
      <c r="I19" s="22">
        <f t="shared" si="15"/>
        <v>45514</v>
      </c>
      <c r="J19" s="22">
        <f t="shared" si="15"/>
        <v>30964.959999999999</v>
      </c>
      <c r="K19" s="22">
        <f t="shared" si="15"/>
        <v>3472</v>
      </c>
      <c r="L19" s="22">
        <f t="shared" si="15"/>
        <v>53936</v>
      </c>
      <c r="M19" s="22">
        <f t="shared" si="15"/>
        <v>35894.960000000006</v>
      </c>
      <c r="N19" s="22">
        <f t="shared" si="15"/>
        <v>4236</v>
      </c>
      <c r="O19" s="22">
        <f t="shared" si="15"/>
        <v>63394</v>
      </c>
      <c r="P19" s="22">
        <f t="shared" si="15"/>
        <v>43411.759999999995</v>
      </c>
      <c r="Q19" s="22">
        <f t="shared" si="15"/>
        <v>4003.5</v>
      </c>
      <c r="R19" s="22">
        <f t="shared" si="15"/>
        <v>63813</v>
      </c>
      <c r="S19" s="22">
        <f t="shared" si="15"/>
        <v>43308.06</v>
      </c>
      <c r="T19" s="22">
        <f t="shared" si="15"/>
        <v>3217</v>
      </c>
      <c r="U19" s="22">
        <f t="shared" si="15"/>
        <v>71716</v>
      </c>
      <c r="V19" s="22">
        <f t="shared" si="15"/>
        <v>50823.759999999995</v>
      </c>
      <c r="W19" s="22">
        <f t="shared" si="15"/>
        <v>2758</v>
      </c>
      <c r="X19" s="22">
        <f t="shared" si="15"/>
        <v>64060</v>
      </c>
      <c r="Y19" s="22">
        <f t="shared" si="15"/>
        <v>45375.28</v>
      </c>
      <c r="Z19" s="22">
        <f t="shared" si="15"/>
        <v>4817</v>
      </c>
      <c r="AA19" s="22">
        <f t="shared" si="15"/>
        <v>71562</v>
      </c>
      <c r="AB19" s="22">
        <f t="shared" si="15"/>
        <v>49290.239999999998</v>
      </c>
      <c r="AC19" s="22">
        <f t="shared" si="15"/>
        <v>3403.5</v>
      </c>
      <c r="AD19" s="22">
        <f t="shared" si="15"/>
        <v>53115</v>
      </c>
      <c r="AE19" s="22">
        <f t="shared" si="15"/>
        <v>37443.42</v>
      </c>
      <c r="AF19" s="22">
        <f t="shared" si="15"/>
        <v>5659.6</v>
      </c>
      <c r="AG19" s="22">
        <f t="shared" si="15"/>
        <v>83208</v>
      </c>
      <c r="AH19" s="22">
        <f t="shared" si="15"/>
        <v>59850.12</v>
      </c>
      <c r="AI19" s="22">
        <f t="shared" si="15"/>
        <v>4307</v>
      </c>
      <c r="AJ19" s="22">
        <f t="shared" si="15"/>
        <v>64196</v>
      </c>
      <c r="AK19" s="22">
        <f t="shared" si="15"/>
        <v>46431.079999999994</v>
      </c>
      <c r="AL19" s="22">
        <f t="shared" si="15"/>
        <v>4841</v>
      </c>
      <c r="AM19" s="22">
        <f t="shared" si="15"/>
        <v>70903</v>
      </c>
      <c r="AN19" s="22">
        <f t="shared" si="15"/>
        <v>51537.46</v>
      </c>
      <c r="AO19" s="22">
        <f t="shared" si="15"/>
        <v>47280.6</v>
      </c>
      <c r="AP19" s="22">
        <f t="shared" si="15"/>
        <v>761619</v>
      </c>
      <c r="AQ19" s="22">
        <f t="shared" si="15"/>
        <v>532438.89999999991</v>
      </c>
    </row>
    <row r="20" spans="1:43" x14ac:dyDescent="0.5">
      <c r="A20" s="39"/>
      <c r="B20" s="30"/>
      <c r="C20" s="30"/>
      <c r="D20" s="30"/>
      <c r="E20" s="28"/>
      <c r="F20" s="28"/>
      <c r="G20" s="28"/>
      <c r="H20" s="28"/>
      <c r="I20" s="28"/>
      <c r="J20" s="28"/>
      <c r="K20" s="28"/>
      <c r="L20" s="28"/>
      <c r="M20" s="28">
        <f>L20*C21</f>
        <v>0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5">
      <c r="A21" s="39">
        <v>1</v>
      </c>
      <c r="B21" s="30" t="s">
        <v>6</v>
      </c>
      <c r="C21" s="1">
        <v>0.7</v>
      </c>
      <c r="D21" s="1" t="s">
        <v>96</v>
      </c>
      <c r="E21" s="29">
        <v>29</v>
      </c>
      <c r="F21" s="29">
        <v>348</v>
      </c>
      <c r="G21" s="29">
        <f>F21*C21</f>
        <v>243.6</v>
      </c>
      <c r="H21" s="29"/>
      <c r="I21" s="29"/>
      <c r="J21" s="29">
        <f>I21*C21</f>
        <v>0</v>
      </c>
      <c r="K21" s="29"/>
      <c r="L21" s="29"/>
      <c r="M21" s="28">
        <f t="shared" ref="M21:M27" si="16">L21*C22</f>
        <v>0</v>
      </c>
      <c r="N21" s="29"/>
      <c r="O21" s="29"/>
      <c r="P21" s="29">
        <f>O21*C21</f>
        <v>0</v>
      </c>
      <c r="Q21" s="29">
        <f>240/12</f>
        <v>20</v>
      </c>
      <c r="R21" s="29">
        <v>240</v>
      </c>
      <c r="S21" s="29">
        <f>R21*C21</f>
        <v>168</v>
      </c>
      <c r="T21" s="29">
        <f>90/12</f>
        <v>7.5</v>
      </c>
      <c r="U21" s="29">
        <v>90</v>
      </c>
      <c r="V21" s="29">
        <f>U21*C21</f>
        <v>62.999999999999993</v>
      </c>
      <c r="W21" s="29"/>
      <c r="X21" s="29"/>
      <c r="Y21" s="29"/>
      <c r="Z21" s="29"/>
      <c r="AA21" s="29"/>
      <c r="AB21" s="29"/>
      <c r="AC21" s="29">
        <f>AD21/12</f>
        <v>27</v>
      </c>
      <c r="AD21" s="29">
        <v>324</v>
      </c>
      <c r="AE21" s="132">
        <f>AD21*C21</f>
        <v>226.79999999999998</v>
      </c>
      <c r="AF21" s="29"/>
      <c r="AG21" s="29"/>
      <c r="AH21" s="29"/>
      <c r="AI21" s="29">
        <f>444/12</f>
        <v>37</v>
      </c>
      <c r="AJ21" s="29">
        <v>444</v>
      </c>
      <c r="AK21" s="132">
        <f>AJ21*C21</f>
        <v>310.79999999999995</v>
      </c>
      <c r="AL21" s="29"/>
      <c r="AM21" s="29"/>
      <c r="AN21" s="29"/>
      <c r="AO21" s="29"/>
      <c r="AP21" s="29"/>
      <c r="AQ21" s="29"/>
    </row>
    <row r="22" spans="1:43" x14ac:dyDescent="0.5">
      <c r="A22" s="39">
        <v>2</v>
      </c>
      <c r="B22" s="30" t="s">
        <v>5</v>
      </c>
      <c r="C22" s="1">
        <v>0.35</v>
      </c>
      <c r="D22" s="1" t="s">
        <v>98</v>
      </c>
      <c r="E22" s="29">
        <f>72/24</f>
        <v>3</v>
      </c>
      <c r="F22" s="29">
        <v>72</v>
      </c>
      <c r="G22" s="29">
        <f t="shared" ref="G22:G27" si="17">F22*C22</f>
        <v>25.2</v>
      </c>
      <c r="H22" s="29"/>
      <c r="I22" s="29"/>
      <c r="J22" s="29">
        <f t="shared" ref="J22:J27" si="18">I22*C22</f>
        <v>0</v>
      </c>
      <c r="K22" s="29"/>
      <c r="L22" s="29"/>
      <c r="M22" s="28">
        <f t="shared" si="16"/>
        <v>0</v>
      </c>
      <c r="N22" s="29"/>
      <c r="O22" s="29"/>
      <c r="P22" s="29">
        <f t="shared" ref="P22:P27" si="19">O22*C22</f>
        <v>0</v>
      </c>
      <c r="Q22" s="29"/>
      <c r="R22" s="29"/>
      <c r="S22" s="29">
        <f t="shared" ref="S22:S27" si="20">R22*C22</f>
        <v>0</v>
      </c>
      <c r="T22" s="29"/>
      <c r="U22" s="29"/>
      <c r="V22" s="29">
        <f t="shared" ref="V22:V27" si="21">U22*C22</f>
        <v>0</v>
      </c>
      <c r="W22" s="29"/>
      <c r="X22" s="29"/>
      <c r="Y22" s="29"/>
      <c r="Z22" s="29"/>
      <c r="AA22" s="29"/>
      <c r="AB22" s="29"/>
      <c r="AC22" s="29">
        <v>1</v>
      </c>
      <c r="AD22" s="29">
        <v>24</v>
      </c>
      <c r="AE22" s="132">
        <f t="shared" ref="AE22:AE27" si="22">AD22*C22</f>
        <v>8.3999999999999986</v>
      </c>
      <c r="AF22" s="29"/>
      <c r="AG22" s="29"/>
      <c r="AH22" s="29"/>
      <c r="AI22" s="29">
        <v>1</v>
      </c>
      <c r="AJ22" s="29">
        <v>24</v>
      </c>
      <c r="AK22" s="132">
        <f t="shared" ref="AK22:AK27" si="23">AJ22*C22</f>
        <v>8.3999999999999986</v>
      </c>
      <c r="AL22" s="29"/>
      <c r="AM22" s="29"/>
      <c r="AN22" s="29"/>
      <c r="AO22" s="29"/>
      <c r="AP22" s="29"/>
      <c r="AQ22" s="29"/>
    </row>
    <row r="23" spans="1:43" x14ac:dyDescent="0.5">
      <c r="A23" s="39">
        <v>3</v>
      </c>
      <c r="B23" s="30" t="s">
        <v>4</v>
      </c>
      <c r="C23" s="1">
        <v>0.17499999999999999</v>
      </c>
      <c r="D23" s="1" t="s">
        <v>100</v>
      </c>
      <c r="E23" s="29">
        <f>168/48</f>
        <v>3.5</v>
      </c>
      <c r="F23" s="29">
        <v>168</v>
      </c>
      <c r="G23" s="29">
        <f t="shared" si="17"/>
        <v>29.4</v>
      </c>
      <c r="H23" s="29"/>
      <c r="I23" s="29"/>
      <c r="J23" s="29">
        <f t="shared" si="18"/>
        <v>0</v>
      </c>
      <c r="K23" s="29"/>
      <c r="L23" s="29"/>
      <c r="M23" s="28">
        <f t="shared" si="16"/>
        <v>0</v>
      </c>
      <c r="N23" s="29"/>
      <c r="O23" s="29"/>
      <c r="P23" s="29">
        <f t="shared" si="19"/>
        <v>0</v>
      </c>
      <c r="Q23" s="29"/>
      <c r="R23" s="29"/>
      <c r="S23" s="29">
        <f t="shared" si="20"/>
        <v>0</v>
      </c>
      <c r="T23" s="29"/>
      <c r="U23" s="29"/>
      <c r="V23" s="29">
        <f t="shared" si="21"/>
        <v>0</v>
      </c>
      <c r="W23" s="29"/>
      <c r="X23" s="29"/>
      <c r="Y23" s="29"/>
      <c r="Z23" s="29"/>
      <c r="AA23" s="29"/>
      <c r="AB23" s="29"/>
      <c r="AC23" s="29"/>
      <c r="AD23" s="29"/>
      <c r="AE23" s="132">
        <f t="shared" si="22"/>
        <v>0</v>
      </c>
      <c r="AF23" s="29"/>
      <c r="AG23" s="29"/>
      <c r="AH23" s="29"/>
      <c r="AI23" s="29"/>
      <c r="AJ23" s="29"/>
      <c r="AK23" s="29">
        <f t="shared" si="23"/>
        <v>0</v>
      </c>
      <c r="AL23" s="29"/>
      <c r="AM23" s="29"/>
      <c r="AN23" s="29"/>
      <c r="AO23" s="29"/>
      <c r="AP23" s="29"/>
      <c r="AQ23" s="29"/>
    </row>
    <row r="24" spans="1:43" x14ac:dyDescent="0.5">
      <c r="A24" s="39">
        <v>4</v>
      </c>
      <c r="B24" s="30" t="s">
        <v>3</v>
      </c>
      <c r="C24" s="1">
        <v>0.7</v>
      </c>
      <c r="D24" s="1" t="s">
        <v>96</v>
      </c>
      <c r="E24" s="29"/>
      <c r="F24" s="29"/>
      <c r="G24" s="29">
        <f t="shared" si="17"/>
        <v>0</v>
      </c>
      <c r="H24" s="29">
        <f>336/12</f>
        <v>28</v>
      </c>
      <c r="I24" s="29">
        <v>336</v>
      </c>
      <c r="J24" s="29">
        <f t="shared" si="18"/>
        <v>235.2</v>
      </c>
      <c r="K24" s="29"/>
      <c r="L24" s="29">
        <v>456</v>
      </c>
      <c r="M24" s="28">
        <f t="shared" si="16"/>
        <v>159.6</v>
      </c>
      <c r="N24" s="29"/>
      <c r="O24" s="29"/>
      <c r="P24" s="29">
        <f t="shared" si="19"/>
        <v>0</v>
      </c>
      <c r="Q24" s="29"/>
      <c r="R24" s="29"/>
      <c r="S24" s="29">
        <f t="shared" si="20"/>
        <v>0</v>
      </c>
      <c r="T24" s="29"/>
      <c r="U24" s="29"/>
      <c r="V24" s="29">
        <f t="shared" si="21"/>
        <v>0</v>
      </c>
      <c r="W24" s="29"/>
      <c r="X24" s="29"/>
      <c r="Y24" s="29"/>
      <c r="Z24" s="29">
        <f>AA24/12</f>
        <v>18</v>
      </c>
      <c r="AA24" s="29">
        <v>216</v>
      </c>
      <c r="AB24" s="132">
        <f>AA24*C24</f>
        <v>151.19999999999999</v>
      </c>
      <c r="AC24" s="29"/>
      <c r="AD24" s="29"/>
      <c r="AE24" s="132">
        <f t="shared" si="22"/>
        <v>0</v>
      </c>
      <c r="AF24" s="29"/>
      <c r="AG24" s="29"/>
      <c r="AH24" s="29"/>
      <c r="AI24" s="29"/>
      <c r="AJ24" s="29"/>
      <c r="AK24" s="29">
        <f t="shared" si="23"/>
        <v>0</v>
      </c>
      <c r="AL24" s="29"/>
      <c r="AM24" s="29"/>
      <c r="AN24" s="29"/>
      <c r="AO24" s="29"/>
      <c r="AP24" s="29"/>
      <c r="AQ24" s="29"/>
    </row>
    <row r="25" spans="1:43" x14ac:dyDescent="0.5">
      <c r="A25" s="29">
        <v>1</v>
      </c>
      <c r="B25" s="30" t="s">
        <v>2</v>
      </c>
      <c r="C25" s="1">
        <v>0.35</v>
      </c>
      <c r="D25" s="1" t="s">
        <v>98</v>
      </c>
      <c r="E25" s="29"/>
      <c r="F25" s="29"/>
      <c r="G25" s="29">
        <f t="shared" si="17"/>
        <v>0</v>
      </c>
      <c r="H25" s="29"/>
      <c r="I25" s="29"/>
      <c r="J25" s="29">
        <f t="shared" si="18"/>
        <v>0</v>
      </c>
      <c r="K25" s="29"/>
      <c r="L25" s="29">
        <v>126</v>
      </c>
      <c r="M25" s="28">
        <f t="shared" si="16"/>
        <v>22.049999999999997</v>
      </c>
      <c r="N25" s="29"/>
      <c r="O25" s="29"/>
      <c r="P25" s="29">
        <f t="shared" si="19"/>
        <v>0</v>
      </c>
      <c r="Q25" s="29"/>
      <c r="R25" s="29"/>
      <c r="S25" s="29">
        <f t="shared" si="20"/>
        <v>0</v>
      </c>
      <c r="T25" s="29"/>
      <c r="U25" s="29"/>
      <c r="V25" s="29">
        <f t="shared" si="21"/>
        <v>0</v>
      </c>
      <c r="W25" s="29"/>
      <c r="X25" s="29"/>
      <c r="Y25" s="29"/>
      <c r="Z25" s="29">
        <v>1</v>
      </c>
      <c r="AA25" s="29">
        <v>24</v>
      </c>
      <c r="AB25" s="132">
        <f t="shared" ref="AB25:AB27" si="24">AA25*C25</f>
        <v>8.3999999999999986</v>
      </c>
      <c r="AC25" s="29"/>
      <c r="AD25" s="29"/>
      <c r="AE25" s="132">
        <f t="shared" si="22"/>
        <v>0</v>
      </c>
      <c r="AF25" s="29"/>
      <c r="AG25" s="29"/>
      <c r="AH25" s="29"/>
      <c r="AI25" s="29"/>
      <c r="AJ25" s="29"/>
      <c r="AK25" s="29">
        <f t="shared" si="23"/>
        <v>0</v>
      </c>
      <c r="AL25" s="29"/>
      <c r="AM25" s="29"/>
      <c r="AN25" s="29"/>
      <c r="AO25" s="29"/>
      <c r="AP25" s="29"/>
      <c r="AQ25" s="29"/>
    </row>
    <row r="26" spans="1:43" x14ac:dyDescent="0.5">
      <c r="A26" s="29">
        <v>6</v>
      </c>
      <c r="B26" s="30" t="s">
        <v>1</v>
      </c>
      <c r="C26" s="1">
        <v>0.17499999999999999</v>
      </c>
      <c r="D26" s="1" t="s">
        <v>100</v>
      </c>
      <c r="E26" s="29"/>
      <c r="F26" s="29"/>
      <c r="G26" s="29">
        <f t="shared" si="17"/>
        <v>0</v>
      </c>
      <c r="H26" s="29"/>
      <c r="I26" s="29"/>
      <c r="J26" s="29">
        <f t="shared" si="18"/>
        <v>0</v>
      </c>
      <c r="K26" s="29"/>
      <c r="L26" s="29"/>
      <c r="M26" s="28">
        <f t="shared" si="16"/>
        <v>0</v>
      </c>
      <c r="N26" s="29">
        <v>1</v>
      </c>
      <c r="O26" s="29">
        <v>48</v>
      </c>
      <c r="P26" s="29">
        <f t="shared" si="19"/>
        <v>8.3999999999999986</v>
      </c>
      <c r="Q26" s="29"/>
      <c r="R26" s="29"/>
      <c r="S26" s="29">
        <f t="shared" si="20"/>
        <v>0</v>
      </c>
      <c r="T26" s="29"/>
      <c r="U26" s="29"/>
      <c r="V26" s="29">
        <f t="shared" si="21"/>
        <v>0</v>
      </c>
      <c r="W26" s="29"/>
      <c r="X26" s="29"/>
      <c r="Y26" s="29"/>
      <c r="Z26" s="29"/>
      <c r="AA26" s="29"/>
      <c r="AB26" s="132">
        <f t="shared" si="24"/>
        <v>0</v>
      </c>
      <c r="AC26" s="29"/>
      <c r="AD26" s="29"/>
      <c r="AE26" s="132">
        <f t="shared" si="22"/>
        <v>0</v>
      </c>
      <c r="AF26" s="29"/>
      <c r="AG26" s="29"/>
      <c r="AH26" s="29"/>
      <c r="AI26" s="29"/>
      <c r="AJ26" s="29"/>
      <c r="AK26" s="29">
        <f t="shared" si="23"/>
        <v>0</v>
      </c>
      <c r="AL26" s="29"/>
      <c r="AM26" s="29"/>
      <c r="AN26" s="29"/>
      <c r="AO26" s="29"/>
      <c r="AP26" s="29"/>
      <c r="AQ26" s="29"/>
    </row>
    <row r="27" spans="1:43" x14ac:dyDescent="0.5">
      <c r="A27" s="29">
        <v>7</v>
      </c>
      <c r="B27" s="30" t="s">
        <v>0</v>
      </c>
      <c r="C27" s="1">
        <v>0.7</v>
      </c>
      <c r="D27" s="1" t="s">
        <v>96</v>
      </c>
      <c r="E27" s="29">
        <f>24/12</f>
        <v>2</v>
      </c>
      <c r="F27" s="29">
        <v>24</v>
      </c>
      <c r="G27" s="29">
        <f t="shared" si="17"/>
        <v>16.799999999999997</v>
      </c>
      <c r="H27" s="29"/>
      <c r="I27" s="29"/>
      <c r="J27" s="29">
        <f t="shared" si="18"/>
        <v>0</v>
      </c>
      <c r="K27" s="29"/>
      <c r="L27" s="29"/>
      <c r="M27" s="28">
        <f t="shared" si="16"/>
        <v>0</v>
      </c>
      <c r="N27" s="29">
        <f>180/12</f>
        <v>15</v>
      </c>
      <c r="O27" s="29">
        <v>180</v>
      </c>
      <c r="P27" s="29">
        <f t="shared" si="19"/>
        <v>125.99999999999999</v>
      </c>
      <c r="Q27" s="29"/>
      <c r="R27" s="29"/>
      <c r="S27" s="29">
        <f t="shared" si="20"/>
        <v>0</v>
      </c>
      <c r="T27" s="29"/>
      <c r="U27" s="29"/>
      <c r="V27" s="29">
        <f t="shared" si="21"/>
        <v>0</v>
      </c>
      <c r="W27" s="29"/>
      <c r="X27" s="29"/>
      <c r="Y27" s="29"/>
      <c r="Z27" s="29"/>
      <c r="AA27" s="29"/>
      <c r="AB27" s="132">
        <f t="shared" si="24"/>
        <v>0</v>
      </c>
      <c r="AC27" s="29"/>
      <c r="AD27" s="29"/>
      <c r="AE27" s="132">
        <f t="shared" si="22"/>
        <v>0</v>
      </c>
      <c r="AF27" s="29"/>
      <c r="AG27" s="29"/>
      <c r="AH27" s="29"/>
      <c r="AI27" s="29"/>
      <c r="AJ27" s="29"/>
      <c r="AK27" s="29">
        <f t="shared" si="23"/>
        <v>0</v>
      </c>
      <c r="AL27" s="29"/>
      <c r="AM27" s="29"/>
      <c r="AN27" s="29"/>
      <c r="AO27" s="29"/>
      <c r="AP27" s="29"/>
      <c r="AQ27" s="29"/>
    </row>
    <row r="28" spans="1:43" x14ac:dyDescent="0.5">
      <c r="A28" s="46"/>
      <c r="B28" s="239" t="s">
        <v>10</v>
      </c>
      <c r="C28" s="240"/>
      <c r="D28" s="241"/>
      <c r="E28" s="22">
        <f t="shared" ref="E28:AN28" si="25">SUM(E21:E27)</f>
        <v>37.5</v>
      </c>
      <c r="F28" s="22">
        <f t="shared" si="25"/>
        <v>612</v>
      </c>
      <c r="G28" s="22">
        <f t="shared" si="25"/>
        <v>315</v>
      </c>
      <c r="H28" s="22">
        <f t="shared" si="25"/>
        <v>28</v>
      </c>
      <c r="I28" s="22">
        <f t="shared" si="25"/>
        <v>336</v>
      </c>
      <c r="J28" s="22">
        <f t="shared" si="25"/>
        <v>235.2</v>
      </c>
      <c r="K28" s="22">
        <f t="shared" si="25"/>
        <v>0</v>
      </c>
      <c r="L28" s="22">
        <f t="shared" si="25"/>
        <v>582</v>
      </c>
      <c r="M28" s="22">
        <f t="shared" si="25"/>
        <v>181.64999999999998</v>
      </c>
      <c r="N28" s="22">
        <f t="shared" si="25"/>
        <v>16</v>
      </c>
      <c r="O28" s="22">
        <f t="shared" si="25"/>
        <v>228</v>
      </c>
      <c r="P28" s="22">
        <f t="shared" si="25"/>
        <v>134.39999999999998</v>
      </c>
      <c r="Q28" s="22">
        <f t="shared" si="25"/>
        <v>20</v>
      </c>
      <c r="R28" s="22">
        <f t="shared" si="25"/>
        <v>240</v>
      </c>
      <c r="S28" s="22">
        <f t="shared" si="25"/>
        <v>168</v>
      </c>
      <c r="T28" s="22">
        <f t="shared" si="25"/>
        <v>7.5</v>
      </c>
      <c r="U28" s="22">
        <f t="shared" si="25"/>
        <v>90</v>
      </c>
      <c r="V28" s="22">
        <f t="shared" si="25"/>
        <v>62.999999999999993</v>
      </c>
      <c r="W28" s="22">
        <f t="shared" si="25"/>
        <v>0</v>
      </c>
      <c r="X28" s="22">
        <f t="shared" si="25"/>
        <v>0</v>
      </c>
      <c r="Y28" s="22">
        <f t="shared" si="25"/>
        <v>0</v>
      </c>
      <c r="Z28" s="22">
        <f t="shared" si="25"/>
        <v>19</v>
      </c>
      <c r="AA28" s="22">
        <f t="shared" si="25"/>
        <v>240</v>
      </c>
      <c r="AB28" s="22">
        <f t="shared" si="25"/>
        <v>159.6</v>
      </c>
      <c r="AC28" s="22">
        <f t="shared" si="25"/>
        <v>28</v>
      </c>
      <c r="AD28" s="22">
        <f t="shared" si="25"/>
        <v>348</v>
      </c>
      <c r="AE28" s="22">
        <f t="shared" si="25"/>
        <v>235.2</v>
      </c>
      <c r="AF28" s="22">
        <f t="shared" si="25"/>
        <v>0</v>
      </c>
      <c r="AG28" s="22">
        <f t="shared" si="25"/>
        <v>0</v>
      </c>
      <c r="AH28" s="22">
        <f t="shared" si="25"/>
        <v>0</v>
      </c>
      <c r="AI28" s="22">
        <f t="shared" si="25"/>
        <v>38</v>
      </c>
      <c r="AJ28" s="22">
        <f t="shared" si="25"/>
        <v>468</v>
      </c>
      <c r="AK28" s="22">
        <f t="shared" si="25"/>
        <v>319.19999999999993</v>
      </c>
      <c r="AL28" s="22">
        <f t="shared" si="25"/>
        <v>0</v>
      </c>
      <c r="AM28" s="22">
        <f t="shared" si="25"/>
        <v>0</v>
      </c>
      <c r="AN28" s="22">
        <f t="shared" si="25"/>
        <v>0</v>
      </c>
      <c r="AO28" s="22">
        <f t="shared" ref="AO28:AQ28" si="26">SUM(AO21:AO27)</f>
        <v>0</v>
      </c>
      <c r="AP28" s="22">
        <f t="shared" si="26"/>
        <v>0</v>
      </c>
      <c r="AQ28" s="22">
        <f t="shared" si="26"/>
        <v>0</v>
      </c>
    </row>
    <row r="29" spans="1:43" x14ac:dyDescent="0.5">
      <c r="A29" s="45"/>
      <c r="B29" s="242" t="s">
        <v>49</v>
      </c>
      <c r="C29" s="243"/>
      <c r="D29" s="244"/>
      <c r="E29" s="59">
        <f t="shared" ref="E29:T29" si="27">E19+E28</f>
        <v>3677.5</v>
      </c>
      <c r="F29" s="38">
        <f t="shared" si="27"/>
        <v>56814</v>
      </c>
      <c r="G29" s="38">
        <f t="shared" si="27"/>
        <v>38422.800000000003</v>
      </c>
      <c r="H29" s="38">
        <f t="shared" si="27"/>
        <v>2954</v>
      </c>
      <c r="I29" s="38">
        <f t="shared" si="27"/>
        <v>45850</v>
      </c>
      <c r="J29" s="38">
        <f t="shared" si="27"/>
        <v>31200.16</v>
      </c>
      <c r="K29" s="38">
        <f t="shared" si="27"/>
        <v>3472</v>
      </c>
      <c r="L29" s="38">
        <f t="shared" si="27"/>
        <v>54518</v>
      </c>
      <c r="M29" s="89">
        <f t="shared" si="27"/>
        <v>36076.610000000008</v>
      </c>
      <c r="N29" s="38">
        <f t="shared" si="27"/>
        <v>4252</v>
      </c>
      <c r="O29" s="38">
        <f t="shared" si="27"/>
        <v>63622</v>
      </c>
      <c r="P29" s="37">
        <f t="shared" si="27"/>
        <v>43546.159999999996</v>
      </c>
      <c r="Q29" s="38">
        <f t="shared" si="27"/>
        <v>4023.5</v>
      </c>
      <c r="R29" s="38">
        <f t="shared" si="27"/>
        <v>64053</v>
      </c>
      <c r="S29" s="37">
        <f t="shared" si="27"/>
        <v>43476.06</v>
      </c>
      <c r="T29" s="38">
        <f t="shared" si="27"/>
        <v>3224.5</v>
      </c>
      <c r="U29" s="38"/>
      <c r="V29" s="37">
        <f>V19+V28</f>
        <v>50886.759999999995</v>
      </c>
      <c r="W29" s="38">
        <f>W19+W28</f>
        <v>2758</v>
      </c>
      <c r="X29" s="38"/>
      <c r="Y29" s="37">
        <f>Y19+Y28</f>
        <v>45375.28</v>
      </c>
      <c r="Z29" s="38">
        <f>Z19+Z28</f>
        <v>4836</v>
      </c>
      <c r="AA29" s="38"/>
      <c r="AB29" s="37">
        <f>AB19+AB28</f>
        <v>49449.84</v>
      </c>
      <c r="AC29" s="38">
        <f>AC19+AC28</f>
        <v>3431.5</v>
      </c>
      <c r="AD29" s="38"/>
      <c r="AE29" s="37">
        <f>AE19+AE28</f>
        <v>37678.619999999995</v>
      </c>
      <c r="AF29" s="38">
        <f>AF19+AF28</f>
        <v>5659.6</v>
      </c>
      <c r="AG29" s="38"/>
      <c r="AH29" s="37">
        <f>AH19+AH28</f>
        <v>59850.12</v>
      </c>
      <c r="AI29" s="38">
        <f>AI19+AI28</f>
        <v>4345</v>
      </c>
      <c r="AJ29" s="38"/>
      <c r="AK29" s="37">
        <f>AK19+AK28</f>
        <v>46750.279999999992</v>
      </c>
      <c r="AL29" s="38">
        <f>AL19+AL28</f>
        <v>4841</v>
      </c>
      <c r="AM29" s="38"/>
      <c r="AN29" s="37">
        <f>AN19+AN28</f>
        <v>51537.46</v>
      </c>
      <c r="AO29" s="38">
        <f>AO19+AO28</f>
        <v>47280.6</v>
      </c>
      <c r="AP29" s="38"/>
      <c r="AQ29" s="37">
        <f>AQ19+AQ28</f>
        <v>532438.89999999991</v>
      </c>
    </row>
    <row r="32" spans="1:43" x14ac:dyDescent="0.5">
      <c r="F32" s="53"/>
    </row>
    <row r="33" spans="1:43" x14ac:dyDescent="0.5">
      <c r="AN33" s="53"/>
      <c r="AO33" s="53"/>
    </row>
    <row r="35" spans="1:43" ht="25.15" customHeight="1" x14ac:dyDescent="0.5">
      <c r="B35" s="41" t="s">
        <v>111</v>
      </c>
    </row>
    <row r="36" spans="1:43" ht="15" customHeight="1" x14ac:dyDescent="0.5"/>
    <row r="37" spans="1:43" ht="42.75" customHeight="1" x14ac:dyDescent="0.5">
      <c r="A37" s="245" t="s">
        <v>52</v>
      </c>
      <c r="B37" s="245" t="s">
        <v>51</v>
      </c>
      <c r="C37" s="247" t="s">
        <v>117</v>
      </c>
      <c r="D37" s="247" t="s">
        <v>95</v>
      </c>
      <c r="E37" s="236" t="s">
        <v>113</v>
      </c>
      <c r="F37" s="237"/>
      <c r="G37" s="238"/>
      <c r="H37" s="236" t="s">
        <v>58</v>
      </c>
      <c r="I37" s="237"/>
      <c r="J37" s="238"/>
      <c r="K37" s="236" t="s">
        <v>59</v>
      </c>
      <c r="L37" s="237"/>
      <c r="M37" s="238"/>
      <c r="N37" s="236" t="s">
        <v>60</v>
      </c>
      <c r="O37" s="237"/>
      <c r="P37" s="238"/>
      <c r="Q37" s="236" t="s">
        <v>61</v>
      </c>
      <c r="R37" s="237"/>
      <c r="S37" s="238"/>
      <c r="T37" s="236" t="s">
        <v>62</v>
      </c>
      <c r="U37" s="237"/>
      <c r="V37" s="238"/>
      <c r="W37" s="236" t="s">
        <v>63</v>
      </c>
      <c r="X37" s="237"/>
      <c r="Y37" s="238"/>
      <c r="Z37" s="236" t="s">
        <v>64</v>
      </c>
      <c r="AA37" s="237"/>
      <c r="AB37" s="238"/>
      <c r="AC37" s="236" t="s">
        <v>65</v>
      </c>
      <c r="AD37" s="237"/>
      <c r="AE37" s="238"/>
      <c r="AF37" s="236" t="s">
        <v>18</v>
      </c>
      <c r="AG37" s="237"/>
      <c r="AH37" s="238"/>
      <c r="AI37" s="236" t="s">
        <v>17</v>
      </c>
      <c r="AJ37" s="237"/>
      <c r="AK37" s="238"/>
      <c r="AL37" s="236" t="s">
        <v>16</v>
      </c>
      <c r="AM37" s="237"/>
      <c r="AN37" s="238"/>
      <c r="AO37" s="236" t="s">
        <v>10</v>
      </c>
      <c r="AP37" s="237"/>
      <c r="AQ37" s="238"/>
    </row>
    <row r="38" spans="1:43" ht="25.15" customHeight="1" x14ac:dyDescent="0.5">
      <c r="A38" s="246"/>
      <c r="B38" s="246"/>
      <c r="C38" s="248"/>
      <c r="D38" s="248"/>
      <c r="E38" s="40" t="s">
        <v>50</v>
      </c>
      <c r="F38" s="40" t="s">
        <v>56</v>
      </c>
      <c r="G38" s="40" t="s">
        <v>93</v>
      </c>
      <c r="H38" s="40" t="s">
        <v>50</v>
      </c>
      <c r="I38" s="40" t="s">
        <v>56</v>
      </c>
      <c r="J38" s="40" t="s">
        <v>57</v>
      </c>
      <c r="K38" s="40" t="s">
        <v>50</v>
      </c>
      <c r="L38" s="40" t="s">
        <v>56</v>
      </c>
      <c r="M38" s="40" t="s">
        <v>57</v>
      </c>
      <c r="N38" s="40" t="s">
        <v>50</v>
      </c>
      <c r="O38" s="40" t="s">
        <v>56</v>
      </c>
      <c r="P38" s="40" t="s">
        <v>57</v>
      </c>
      <c r="Q38" s="40" t="s">
        <v>50</v>
      </c>
      <c r="R38" s="40" t="s">
        <v>56</v>
      </c>
      <c r="S38" s="40" t="s">
        <v>57</v>
      </c>
      <c r="T38" s="40" t="s">
        <v>50</v>
      </c>
      <c r="U38" s="40" t="s">
        <v>56</v>
      </c>
      <c r="V38" s="40" t="s">
        <v>57</v>
      </c>
      <c r="W38" s="40" t="s">
        <v>50</v>
      </c>
      <c r="X38" s="40" t="s">
        <v>56</v>
      </c>
      <c r="Y38" s="40" t="s">
        <v>57</v>
      </c>
      <c r="Z38" s="40" t="s">
        <v>50</v>
      </c>
      <c r="AA38" s="40" t="s">
        <v>56</v>
      </c>
      <c r="AB38" s="40" t="s">
        <v>57</v>
      </c>
      <c r="AC38" s="40" t="s">
        <v>50</v>
      </c>
      <c r="AD38" s="40" t="s">
        <v>56</v>
      </c>
      <c r="AE38" s="40" t="s">
        <v>57</v>
      </c>
      <c r="AF38" s="40" t="s">
        <v>50</v>
      </c>
      <c r="AG38" s="40" t="s">
        <v>56</v>
      </c>
      <c r="AH38" s="40" t="s">
        <v>57</v>
      </c>
      <c r="AI38" s="40" t="s">
        <v>50</v>
      </c>
      <c r="AJ38" s="40" t="s">
        <v>56</v>
      </c>
      <c r="AK38" s="40" t="s">
        <v>57</v>
      </c>
      <c r="AL38" s="40" t="s">
        <v>50</v>
      </c>
      <c r="AM38" s="40" t="s">
        <v>56</v>
      </c>
      <c r="AN38" s="40" t="s">
        <v>57</v>
      </c>
      <c r="AO38" s="40" t="s">
        <v>50</v>
      </c>
      <c r="AP38" s="40" t="s">
        <v>56</v>
      </c>
      <c r="AQ38" s="40" t="s">
        <v>57</v>
      </c>
    </row>
    <row r="39" spans="1:43" s="43" customFormat="1" ht="20.100000000000001" customHeight="1" x14ac:dyDescent="0.5">
      <c r="A39" s="29">
        <v>1</v>
      </c>
      <c r="B39" s="1" t="s">
        <v>67</v>
      </c>
      <c r="C39" s="34">
        <v>0.7</v>
      </c>
      <c r="D39" s="34" t="s">
        <v>96</v>
      </c>
      <c r="E39" s="95">
        <v>1</v>
      </c>
      <c r="F39" s="95">
        <v>12</v>
      </c>
      <c r="G39" s="95">
        <v>8.3999999999999986</v>
      </c>
      <c r="H39" s="29">
        <v>25</v>
      </c>
      <c r="I39" s="29">
        <v>300</v>
      </c>
      <c r="J39" s="29">
        <f>I39*C39</f>
        <v>210</v>
      </c>
      <c r="K39" s="29">
        <v>26</v>
      </c>
      <c r="L39" s="29">
        <v>312</v>
      </c>
      <c r="M39" s="29">
        <f>L39*C39</f>
        <v>218.39999999999998</v>
      </c>
      <c r="N39" s="29">
        <v>3</v>
      </c>
      <c r="O39" s="29">
        <v>36</v>
      </c>
      <c r="P39" s="29">
        <f>O39*C39</f>
        <v>25.2</v>
      </c>
      <c r="Q39" s="29">
        <v>3</v>
      </c>
      <c r="R39" s="29">
        <v>36</v>
      </c>
      <c r="S39" s="29">
        <f>R39*C39</f>
        <v>25.2</v>
      </c>
      <c r="T39" s="29">
        <v>32</v>
      </c>
      <c r="U39" s="29">
        <v>384</v>
      </c>
      <c r="V39" s="29">
        <f>U39*C39</f>
        <v>268.79999999999995</v>
      </c>
      <c r="W39" s="29">
        <v>4</v>
      </c>
      <c r="X39" s="29">
        <v>48</v>
      </c>
      <c r="Y39" s="29">
        <f>X39*C39</f>
        <v>33.599999999999994</v>
      </c>
      <c r="Z39" s="29">
        <v>16</v>
      </c>
      <c r="AA39" s="29">
        <v>192</v>
      </c>
      <c r="AB39" s="29">
        <v>134.4</v>
      </c>
      <c r="AC39" s="29">
        <v>8</v>
      </c>
      <c r="AD39" s="29">
        <v>96</v>
      </c>
      <c r="AE39" s="29">
        <v>67.199999999999989</v>
      </c>
      <c r="AF39" s="29">
        <v>39</v>
      </c>
      <c r="AG39" s="29">
        <v>468</v>
      </c>
      <c r="AH39" s="29">
        <v>327.60000000000002</v>
      </c>
      <c r="AI39" s="29">
        <v>3</v>
      </c>
      <c r="AJ39" s="29">
        <v>36</v>
      </c>
      <c r="AK39" s="29">
        <v>25.199999999999996</v>
      </c>
      <c r="AL39" s="29">
        <v>2</v>
      </c>
      <c r="AM39" s="29">
        <v>24</v>
      </c>
      <c r="AN39" s="29">
        <v>16.799999999999997</v>
      </c>
      <c r="AO39" s="29"/>
      <c r="AP39" s="29"/>
      <c r="AQ39" s="29"/>
    </row>
    <row r="40" spans="1:43" s="43" customFormat="1" ht="20.100000000000001" customHeight="1" x14ac:dyDescent="0.5">
      <c r="A40" s="29">
        <v>2</v>
      </c>
      <c r="B40" s="1" t="s">
        <v>118</v>
      </c>
      <c r="C40" s="34">
        <v>0.64</v>
      </c>
      <c r="D40" s="34" t="s">
        <v>119</v>
      </c>
      <c r="E40" s="95"/>
      <c r="F40" s="95"/>
      <c r="G40" s="95"/>
      <c r="H40" s="29"/>
      <c r="I40" s="29"/>
      <c r="J40" s="29">
        <f>I40*C40</f>
        <v>0</v>
      </c>
      <c r="K40" s="29">
        <v>2569</v>
      </c>
      <c r="L40" s="29">
        <v>35966</v>
      </c>
      <c r="M40" s="29">
        <f>L40*C40</f>
        <v>23018.240000000002</v>
      </c>
      <c r="N40" s="29">
        <v>1664</v>
      </c>
      <c r="O40" s="29">
        <v>23296</v>
      </c>
      <c r="P40" s="29">
        <f t="shared" ref="P40:P53" si="28">O40*C40</f>
        <v>14909.44</v>
      </c>
      <c r="Q40" s="29">
        <v>2038</v>
      </c>
      <c r="R40" s="29">
        <v>28532</v>
      </c>
      <c r="S40" s="29">
        <f t="shared" ref="S40:S53" si="29">R40*C40</f>
        <v>18260.48</v>
      </c>
      <c r="T40" s="29">
        <v>1458</v>
      </c>
      <c r="U40" s="29">
        <v>20412</v>
      </c>
      <c r="V40" s="29">
        <f t="shared" ref="V40:V54" si="30">U40*C40</f>
        <v>13063.68</v>
      </c>
      <c r="W40" s="29">
        <v>2062</v>
      </c>
      <c r="X40" s="29">
        <v>28868</v>
      </c>
      <c r="Y40" s="29">
        <f t="shared" ref="Y40:Y54" si="31">X40*C40</f>
        <v>18475.52</v>
      </c>
      <c r="Z40" s="29">
        <v>1912</v>
      </c>
      <c r="AA40" s="29">
        <v>26768</v>
      </c>
      <c r="AB40" s="29">
        <v>17131.520000000004</v>
      </c>
      <c r="AC40" s="29">
        <v>1704</v>
      </c>
      <c r="AD40" s="29">
        <v>23856</v>
      </c>
      <c r="AE40" s="29">
        <v>15267.84</v>
      </c>
      <c r="AF40" s="29">
        <v>1696</v>
      </c>
      <c r="AG40" s="29">
        <v>23744</v>
      </c>
      <c r="AH40" s="29">
        <v>15196.160000000003</v>
      </c>
      <c r="AI40" s="29">
        <v>1297</v>
      </c>
      <c r="AJ40" s="29">
        <v>18158</v>
      </c>
      <c r="AK40" s="29">
        <v>11621.120000000003</v>
      </c>
      <c r="AL40" s="29">
        <v>1511</v>
      </c>
      <c r="AM40" s="29">
        <v>21154</v>
      </c>
      <c r="AN40" s="29">
        <v>13538.560000000003</v>
      </c>
      <c r="AO40" s="29"/>
      <c r="AP40" s="29"/>
      <c r="AQ40" s="29"/>
    </row>
    <row r="41" spans="1:43" ht="20.100000000000001" customHeight="1" x14ac:dyDescent="0.5">
      <c r="A41" s="29">
        <v>3</v>
      </c>
      <c r="B41" s="1" t="s">
        <v>69</v>
      </c>
      <c r="C41" s="30">
        <v>1</v>
      </c>
      <c r="D41" s="30" t="s">
        <v>96</v>
      </c>
      <c r="E41" s="95">
        <v>146</v>
      </c>
      <c r="F41" s="95">
        <v>1752</v>
      </c>
      <c r="G41" s="95">
        <v>1752</v>
      </c>
      <c r="H41" s="28">
        <v>198</v>
      </c>
      <c r="I41" s="28">
        <v>2376</v>
      </c>
      <c r="J41" s="29">
        <f>I41*C41</f>
        <v>2376</v>
      </c>
      <c r="K41" s="28">
        <v>339</v>
      </c>
      <c r="L41" s="28">
        <v>4068</v>
      </c>
      <c r="M41" s="29">
        <f>L41*C41</f>
        <v>4068</v>
      </c>
      <c r="N41" s="28">
        <v>299</v>
      </c>
      <c r="O41" s="28">
        <v>3588</v>
      </c>
      <c r="P41" s="29">
        <f t="shared" si="28"/>
        <v>3588</v>
      </c>
      <c r="Q41" s="28">
        <v>76</v>
      </c>
      <c r="R41" s="28">
        <v>912</v>
      </c>
      <c r="S41" s="29">
        <f t="shared" si="29"/>
        <v>912</v>
      </c>
      <c r="T41" s="28">
        <v>402</v>
      </c>
      <c r="U41" s="28">
        <v>4824</v>
      </c>
      <c r="V41" s="29">
        <f t="shared" si="30"/>
        <v>4824</v>
      </c>
      <c r="W41" s="28">
        <v>359</v>
      </c>
      <c r="X41" s="28">
        <v>4308</v>
      </c>
      <c r="Y41" s="29">
        <f t="shared" si="31"/>
        <v>4308</v>
      </c>
      <c r="Z41" s="28">
        <v>250.58333333333334</v>
      </c>
      <c r="AA41" s="28">
        <v>3007</v>
      </c>
      <c r="AB41" s="28">
        <v>3007</v>
      </c>
      <c r="AC41" s="28">
        <v>272.66666666666669</v>
      </c>
      <c r="AD41" s="28">
        <v>3272</v>
      </c>
      <c r="AE41" s="28">
        <v>3272</v>
      </c>
      <c r="AF41" s="28">
        <v>341</v>
      </c>
      <c r="AG41" s="28">
        <v>4092</v>
      </c>
      <c r="AH41" s="28">
        <v>4092</v>
      </c>
      <c r="AI41" s="28">
        <v>433</v>
      </c>
      <c r="AJ41" s="28">
        <v>5196</v>
      </c>
      <c r="AK41" s="28">
        <v>5196</v>
      </c>
      <c r="AL41" s="28">
        <v>712</v>
      </c>
      <c r="AM41" s="28">
        <v>8544</v>
      </c>
      <c r="AN41" s="28">
        <v>8544</v>
      </c>
      <c r="AO41" s="28"/>
      <c r="AP41" s="28"/>
      <c r="AQ41" s="28"/>
    </row>
    <row r="42" spans="1:43" ht="20.100000000000001" customHeight="1" x14ac:dyDescent="0.5">
      <c r="A42" s="29">
        <v>4</v>
      </c>
      <c r="B42" s="1" t="s">
        <v>70</v>
      </c>
      <c r="C42" s="30">
        <v>0.6</v>
      </c>
      <c r="D42" s="30" t="s">
        <v>96</v>
      </c>
      <c r="E42" s="95"/>
      <c r="F42" s="95"/>
      <c r="G42" s="95">
        <f t="shared" ref="G42:G43" si="32">F42*C42</f>
        <v>0</v>
      </c>
      <c r="H42" s="28"/>
      <c r="I42" s="28"/>
      <c r="J42" s="29">
        <f t="shared" ref="J42:J53" si="33">I42*C42</f>
        <v>0</v>
      </c>
      <c r="K42" s="28"/>
      <c r="L42" s="28"/>
      <c r="M42" s="29">
        <f t="shared" ref="M42:M50" si="34">L42*C42</f>
        <v>0</v>
      </c>
      <c r="N42" s="28"/>
      <c r="O42" s="28"/>
      <c r="P42" s="29">
        <f t="shared" si="28"/>
        <v>0</v>
      </c>
      <c r="Q42" s="28"/>
      <c r="R42" s="28"/>
      <c r="S42" s="29">
        <f t="shared" si="29"/>
        <v>0</v>
      </c>
      <c r="T42" s="28">
        <v>40</v>
      </c>
      <c r="U42" s="28">
        <v>480</v>
      </c>
      <c r="V42" s="29">
        <f t="shared" si="30"/>
        <v>288</v>
      </c>
      <c r="W42" s="28"/>
      <c r="X42" s="28"/>
      <c r="Y42" s="29">
        <f t="shared" si="31"/>
        <v>0</v>
      </c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ht="20.100000000000001" customHeight="1" x14ac:dyDescent="0.5">
      <c r="A43" s="29">
        <v>5</v>
      </c>
      <c r="B43" s="1" t="s">
        <v>71</v>
      </c>
      <c r="C43" s="30">
        <v>0.35</v>
      </c>
      <c r="D43" s="30" t="s">
        <v>97</v>
      </c>
      <c r="E43" s="95"/>
      <c r="F43" s="95"/>
      <c r="G43" s="95">
        <f t="shared" si="32"/>
        <v>0</v>
      </c>
      <c r="H43" s="28"/>
      <c r="I43" s="28"/>
      <c r="J43" s="29">
        <f t="shared" si="33"/>
        <v>0</v>
      </c>
      <c r="K43" s="28"/>
      <c r="L43" s="28"/>
      <c r="M43" s="29">
        <f t="shared" si="34"/>
        <v>0</v>
      </c>
      <c r="N43" s="28"/>
      <c r="O43" s="28"/>
      <c r="P43" s="29">
        <f t="shared" si="28"/>
        <v>0</v>
      </c>
      <c r="Q43" s="28"/>
      <c r="R43" s="28"/>
      <c r="S43" s="29">
        <f t="shared" si="29"/>
        <v>0</v>
      </c>
      <c r="T43" s="28"/>
      <c r="U43" s="28"/>
      <c r="V43" s="29">
        <f t="shared" si="30"/>
        <v>0</v>
      </c>
      <c r="W43" s="28"/>
      <c r="X43" s="28"/>
      <c r="Y43" s="29">
        <f t="shared" si="31"/>
        <v>0</v>
      </c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</row>
    <row r="44" spans="1:43" ht="20.100000000000001" customHeight="1" x14ac:dyDescent="0.5">
      <c r="A44" s="29">
        <v>6</v>
      </c>
      <c r="B44" s="1" t="s">
        <v>73</v>
      </c>
      <c r="C44" s="30">
        <v>0.64</v>
      </c>
      <c r="D44" s="30" t="s">
        <v>99</v>
      </c>
      <c r="E44" s="95">
        <v>1871</v>
      </c>
      <c r="F44" s="95">
        <v>26194</v>
      </c>
      <c r="G44" s="95">
        <v>16764.160000000003</v>
      </c>
      <c r="H44" s="28">
        <v>2090</v>
      </c>
      <c r="I44" s="28">
        <v>29260</v>
      </c>
      <c r="J44" s="29">
        <f t="shared" si="33"/>
        <v>18726.400000000001</v>
      </c>
      <c r="K44" s="28"/>
      <c r="L44" s="28"/>
      <c r="M44" s="29">
        <f t="shared" si="34"/>
        <v>0</v>
      </c>
      <c r="N44" s="28"/>
      <c r="O44" s="28"/>
      <c r="P44" s="29">
        <f t="shared" si="28"/>
        <v>0</v>
      </c>
      <c r="Q44" s="28"/>
      <c r="R44" s="28"/>
      <c r="S44" s="29">
        <f t="shared" si="29"/>
        <v>0</v>
      </c>
      <c r="T44" s="28"/>
      <c r="U44" s="28"/>
      <c r="V44" s="29">
        <f t="shared" si="30"/>
        <v>0</v>
      </c>
      <c r="W44" s="28"/>
      <c r="X44" s="28"/>
      <c r="Y44" s="29">
        <f t="shared" si="31"/>
        <v>0</v>
      </c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0.100000000000001" customHeight="1" x14ac:dyDescent="0.5">
      <c r="A45" s="29">
        <v>7</v>
      </c>
      <c r="B45" s="1" t="s">
        <v>74</v>
      </c>
      <c r="C45" s="30">
        <v>1</v>
      </c>
      <c r="D45" s="30" t="s">
        <v>96</v>
      </c>
      <c r="E45" s="95">
        <v>2</v>
      </c>
      <c r="F45" s="95">
        <v>24</v>
      </c>
      <c r="G45" s="95">
        <v>24</v>
      </c>
      <c r="H45" s="28"/>
      <c r="I45" s="28"/>
      <c r="J45" s="29">
        <f t="shared" si="33"/>
        <v>0</v>
      </c>
      <c r="K45" s="28"/>
      <c r="L45" s="28"/>
      <c r="M45" s="29">
        <f t="shared" si="34"/>
        <v>0</v>
      </c>
      <c r="N45" s="28"/>
      <c r="O45" s="28"/>
      <c r="P45" s="29">
        <f t="shared" si="28"/>
        <v>0</v>
      </c>
      <c r="Q45" s="28"/>
      <c r="R45" s="28"/>
      <c r="S45" s="29">
        <f t="shared" si="29"/>
        <v>0</v>
      </c>
      <c r="T45" s="28"/>
      <c r="U45" s="28"/>
      <c r="V45" s="29">
        <f t="shared" si="30"/>
        <v>0</v>
      </c>
      <c r="W45" s="28"/>
      <c r="X45" s="28"/>
      <c r="Y45" s="29">
        <f t="shared" si="31"/>
        <v>0</v>
      </c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0.100000000000001" customHeight="1" x14ac:dyDescent="0.5">
      <c r="A46" s="29">
        <v>8</v>
      </c>
      <c r="B46" s="1" t="s">
        <v>83</v>
      </c>
      <c r="C46" s="30">
        <v>1</v>
      </c>
      <c r="D46" s="30" t="s">
        <v>96</v>
      </c>
      <c r="E46" s="95">
        <v>1623</v>
      </c>
      <c r="F46" s="95">
        <v>19476</v>
      </c>
      <c r="G46" s="95">
        <v>19476</v>
      </c>
      <c r="H46" s="28">
        <v>1560</v>
      </c>
      <c r="I46" s="28">
        <v>18720</v>
      </c>
      <c r="J46" s="29">
        <f t="shared" si="33"/>
        <v>18720</v>
      </c>
      <c r="K46" s="28">
        <v>1170</v>
      </c>
      <c r="L46" s="28">
        <v>14040</v>
      </c>
      <c r="M46" s="29">
        <f t="shared" si="34"/>
        <v>14040</v>
      </c>
      <c r="N46" s="28">
        <v>700</v>
      </c>
      <c r="O46" s="28">
        <v>8400</v>
      </c>
      <c r="P46" s="29">
        <f t="shared" si="28"/>
        <v>8400</v>
      </c>
      <c r="Q46" s="28">
        <v>2905</v>
      </c>
      <c r="R46" s="28">
        <v>34860</v>
      </c>
      <c r="S46" s="29">
        <f t="shared" si="29"/>
        <v>34860</v>
      </c>
      <c r="T46" s="28">
        <v>1620</v>
      </c>
      <c r="U46" s="28">
        <v>19440</v>
      </c>
      <c r="V46" s="29">
        <f t="shared" si="30"/>
        <v>19440</v>
      </c>
      <c r="W46" s="28">
        <v>1200</v>
      </c>
      <c r="X46" s="28">
        <v>14400</v>
      </c>
      <c r="Y46" s="29">
        <f t="shared" si="31"/>
        <v>14400</v>
      </c>
      <c r="Z46" s="28">
        <v>1675</v>
      </c>
      <c r="AA46" s="28">
        <v>20100</v>
      </c>
      <c r="AB46" s="28">
        <v>20100</v>
      </c>
      <c r="AC46" s="28">
        <v>1750</v>
      </c>
      <c r="AD46" s="28">
        <v>21000</v>
      </c>
      <c r="AE46" s="28">
        <v>21000</v>
      </c>
      <c r="AF46" s="28">
        <v>1340</v>
      </c>
      <c r="AG46" s="28">
        <v>16080</v>
      </c>
      <c r="AH46" s="28">
        <v>16080</v>
      </c>
      <c r="AI46" s="28">
        <v>1080</v>
      </c>
      <c r="AJ46" s="28">
        <v>12960</v>
      </c>
      <c r="AK46" s="28">
        <v>12960</v>
      </c>
      <c r="AL46" s="28">
        <v>950</v>
      </c>
      <c r="AM46" s="28">
        <v>11400</v>
      </c>
      <c r="AN46" s="28">
        <v>11400</v>
      </c>
      <c r="AO46" s="28"/>
      <c r="AP46" s="28"/>
      <c r="AQ46" s="28"/>
    </row>
    <row r="47" spans="1:43" ht="20.100000000000001" customHeight="1" x14ac:dyDescent="0.5">
      <c r="A47" s="29">
        <v>9</v>
      </c>
      <c r="B47" s="1" t="s">
        <v>89</v>
      </c>
      <c r="C47" s="30">
        <v>0.64</v>
      </c>
      <c r="D47" s="30" t="s">
        <v>99</v>
      </c>
      <c r="E47" s="95">
        <v>110</v>
      </c>
      <c r="F47" s="95">
        <v>1540</v>
      </c>
      <c r="G47" s="95">
        <v>985.60000000000014</v>
      </c>
      <c r="H47" s="28">
        <v>100</v>
      </c>
      <c r="I47" s="28">
        <v>1400</v>
      </c>
      <c r="J47" s="29">
        <f t="shared" si="33"/>
        <v>896</v>
      </c>
      <c r="K47" s="28">
        <v>220</v>
      </c>
      <c r="L47" s="28">
        <v>3080</v>
      </c>
      <c r="M47" s="29">
        <f>L47*C47</f>
        <v>1971.2</v>
      </c>
      <c r="N47" s="28">
        <v>50</v>
      </c>
      <c r="O47" s="28">
        <v>700</v>
      </c>
      <c r="P47" s="29">
        <f t="shared" si="28"/>
        <v>448</v>
      </c>
      <c r="Q47" s="28">
        <v>188</v>
      </c>
      <c r="R47" s="28">
        <v>2632</v>
      </c>
      <c r="S47" s="29">
        <f t="shared" si="29"/>
        <v>1684.48</v>
      </c>
      <c r="T47" s="28">
        <v>155</v>
      </c>
      <c r="U47" s="28">
        <v>2170</v>
      </c>
      <c r="V47" s="29">
        <f t="shared" si="30"/>
        <v>1388.8</v>
      </c>
      <c r="W47" s="28">
        <v>165</v>
      </c>
      <c r="X47" s="28">
        <v>2310</v>
      </c>
      <c r="Y47" s="29">
        <f t="shared" si="31"/>
        <v>1478.4</v>
      </c>
      <c r="Z47" s="28">
        <v>110</v>
      </c>
      <c r="AA47" s="28">
        <v>1540</v>
      </c>
      <c r="AB47" s="28">
        <v>985.60000000000014</v>
      </c>
      <c r="AC47" s="28">
        <v>180</v>
      </c>
      <c r="AD47" s="28">
        <v>2520</v>
      </c>
      <c r="AE47" s="28">
        <v>1612.8000000000002</v>
      </c>
      <c r="AF47" s="28">
        <v>193</v>
      </c>
      <c r="AG47" s="28">
        <v>2702</v>
      </c>
      <c r="AH47" s="28">
        <v>1729.2800000000002</v>
      </c>
      <c r="AI47" s="28">
        <v>155</v>
      </c>
      <c r="AJ47" s="28">
        <v>2170</v>
      </c>
      <c r="AK47" s="28">
        <v>1388.8</v>
      </c>
      <c r="AL47" s="28">
        <v>200</v>
      </c>
      <c r="AM47" s="28">
        <v>2800</v>
      </c>
      <c r="AN47" s="28">
        <v>1792.0000000000002</v>
      </c>
      <c r="AO47" s="28"/>
      <c r="AP47" s="28"/>
      <c r="AQ47" s="28"/>
    </row>
    <row r="48" spans="1:43" ht="20.100000000000001" customHeight="1" x14ac:dyDescent="0.5">
      <c r="A48" s="29"/>
      <c r="B48" s="1" t="s">
        <v>9</v>
      </c>
      <c r="C48" s="30"/>
      <c r="D48" s="30"/>
      <c r="E48" s="95"/>
      <c r="F48" s="95"/>
      <c r="G48" s="95"/>
      <c r="H48" s="28"/>
      <c r="I48" s="28"/>
      <c r="J48" s="29"/>
      <c r="K48" s="28"/>
      <c r="L48" s="28"/>
      <c r="M48" s="29"/>
      <c r="N48" s="28"/>
      <c r="O48" s="28"/>
      <c r="P48" s="29"/>
      <c r="Q48" s="28"/>
      <c r="R48" s="28"/>
      <c r="S48" s="29"/>
      <c r="T48" s="28"/>
      <c r="U48" s="28"/>
      <c r="V48" s="29"/>
      <c r="W48" s="28"/>
      <c r="X48" s="28"/>
      <c r="Y48" s="29"/>
      <c r="Z48" s="28">
        <v>10</v>
      </c>
      <c r="AA48" s="28">
        <v>140</v>
      </c>
      <c r="AB48" s="28">
        <v>89.600000000000009</v>
      </c>
      <c r="AC48" s="28"/>
      <c r="AD48" s="28"/>
      <c r="AE48" s="28"/>
      <c r="AF48" s="28">
        <v>0.14285714285714285</v>
      </c>
      <c r="AG48" s="28">
        <v>2</v>
      </c>
      <c r="AH48" s="28">
        <v>1.28</v>
      </c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0.100000000000001" customHeight="1" x14ac:dyDescent="0.5">
      <c r="A49" s="29">
        <v>10</v>
      </c>
      <c r="B49" s="1" t="s">
        <v>88</v>
      </c>
      <c r="C49" s="30">
        <v>0.64</v>
      </c>
      <c r="D49" s="30" t="s">
        <v>99</v>
      </c>
      <c r="E49" s="95">
        <v>500</v>
      </c>
      <c r="F49" s="95">
        <v>7000</v>
      </c>
      <c r="G49" s="95">
        <v>4480</v>
      </c>
      <c r="H49" s="28">
        <v>455</v>
      </c>
      <c r="I49" s="28">
        <v>6370</v>
      </c>
      <c r="J49" s="29">
        <f t="shared" si="33"/>
        <v>4076.8</v>
      </c>
      <c r="K49" s="28">
        <v>880</v>
      </c>
      <c r="L49" s="28">
        <v>12320</v>
      </c>
      <c r="M49" s="29">
        <f t="shared" si="34"/>
        <v>7884.8</v>
      </c>
      <c r="N49" s="28">
        <v>410</v>
      </c>
      <c r="O49" s="28">
        <v>5740</v>
      </c>
      <c r="P49" s="29">
        <f t="shared" si="28"/>
        <v>3673.6</v>
      </c>
      <c r="Q49" s="28">
        <v>675</v>
      </c>
      <c r="R49" s="28">
        <v>9450</v>
      </c>
      <c r="S49" s="29">
        <f t="shared" si="29"/>
        <v>6048</v>
      </c>
      <c r="T49" s="28">
        <v>612</v>
      </c>
      <c r="U49" s="28">
        <v>8568</v>
      </c>
      <c r="V49" s="29">
        <f t="shared" si="30"/>
        <v>5483.52</v>
      </c>
      <c r="W49" s="28">
        <v>337</v>
      </c>
      <c r="X49" s="28">
        <v>4718</v>
      </c>
      <c r="Y49" s="29">
        <f t="shared" si="31"/>
        <v>3019.52</v>
      </c>
      <c r="Z49" s="28">
        <v>623</v>
      </c>
      <c r="AA49" s="28">
        <v>8722</v>
      </c>
      <c r="AB49" s="28">
        <v>5582.08</v>
      </c>
      <c r="AC49" s="28">
        <v>315</v>
      </c>
      <c r="AD49" s="28">
        <v>4410</v>
      </c>
      <c r="AE49" s="28">
        <v>2822.4</v>
      </c>
      <c r="AF49" s="28">
        <v>531</v>
      </c>
      <c r="AG49" s="28">
        <v>7434</v>
      </c>
      <c r="AH49" s="28">
        <v>4757.76</v>
      </c>
      <c r="AI49" s="28">
        <v>405</v>
      </c>
      <c r="AJ49" s="28">
        <v>5670</v>
      </c>
      <c r="AK49" s="28">
        <v>3628.8</v>
      </c>
      <c r="AL49" s="28">
        <v>547</v>
      </c>
      <c r="AM49" s="28">
        <v>7658</v>
      </c>
      <c r="AN49" s="28">
        <v>4901.12</v>
      </c>
      <c r="AO49" s="28"/>
      <c r="AP49" s="28"/>
      <c r="AQ49" s="28"/>
    </row>
    <row r="50" spans="1:43" ht="20.100000000000001" customHeight="1" x14ac:dyDescent="0.5">
      <c r="A50" s="29">
        <v>11</v>
      </c>
      <c r="B50" s="30" t="s">
        <v>90</v>
      </c>
      <c r="C50" s="30">
        <v>1</v>
      </c>
      <c r="D50" s="30" t="s">
        <v>96</v>
      </c>
      <c r="E50" s="95">
        <v>7</v>
      </c>
      <c r="F50" s="95">
        <v>84</v>
      </c>
      <c r="G50" s="95">
        <v>84</v>
      </c>
      <c r="H50" s="28">
        <v>3</v>
      </c>
      <c r="I50" s="28">
        <v>36</v>
      </c>
      <c r="J50" s="29">
        <f t="shared" si="33"/>
        <v>36</v>
      </c>
      <c r="K50" s="28">
        <v>5</v>
      </c>
      <c r="L50" s="28">
        <v>60</v>
      </c>
      <c r="M50" s="29">
        <f t="shared" si="34"/>
        <v>60</v>
      </c>
      <c r="N50" s="28">
        <v>8</v>
      </c>
      <c r="O50" s="28">
        <v>96</v>
      </c>
      <c r="P50" s="29">
        <f t="shared" si="28"/>
        <v>96</v>
      </c>
      <c r="Q50" s="28">
        <v>30</v>
      </c>
      <c r="R50" s="28">
        <v>360</v>
      </c>
      <c r="S50" s="29">
        <f t="shared" si="29"/>
        <v>360</v>
      </c>
      <c r="T50" s="28">
        <v>6</v>
      </c>
      <c r="U50" s="28">
        <v>72</v>
      </c>
      <c r="V50" s="29">
        <f t="shared" si="30"/>
        <v>72</v>
      </c>
      <c r="W50" s="28">
        <v>28</v>
      </c>
      <c r="X50" s="28">
        <v>336</v>
      </c>
      <c r="Y50" s="29">
        <f t="shared" si="31"/>
        <v>336</v>
      </c>
      <c r="Z50" s="28">
        <v>22</v>
      </c>
      <c r="AA50" s="28">
        <v>264</v>
      </c>
      <c r="AB50" s="28">
        <v>264</v>
      </c>
      <c r="AC50" s="28">
        <v>19</v>
      </c>
      <c r="AD50" s="28">
        <v>228</v>
      </c>
      <c r="AE50" s="28">
        <v>228</v>
      </c>
      <c r="AF50" s="28">
        <v>14</v>
      </c>
      <c r="AG50" s="28">
        <v>168</v>
      </c>
      <c r="AH50" s="28">
        <v>168</v>
      </c>
      <c r="AI50" s="28">
        <v>7</v>
      </c>
      <c r="AJ50" s="28">
        <v>84</v>
      </c>
      <c r="AK50" s="28">
        <v>84</v>
      </c>
      <c r="AL50" s="28">
        <v>7</v>
      </c>
      <c r="AM50" s="28">
        <v>84</v>
      </c>
      <c r="AN50" s="28">
        <v>84</v>
      </c>
      <c r="AO50" s="28"/>
      <c r="AP50" s="28"/>
      <c r="AQ50" s="28"/>
    </row>
    <row r="51" spans="1:43" ht="20.100000000000001" customHeight="1" x14ac:dyDescent="0.5">
      <c r="A51" s="29">
        <v>12</v>
      </c>
      <c r="B51" s="30" t="s">
        <v>91</v>
      </c>
      <c r="C51" s="1">
        <v>0.64</v>
      </c>
      <c r="D51" s="1" t="s">
        <v>99</v>
      </c>
      <c r="E51" s="95">
        <v>25</v>
      </c>
      <c r="F51" s="95">
        <v>350</v>
      </c>
      <c r="G51" s="95">
        <v>224</v>
      </c>
      <c r="H51" s="28"/>
      <c r="I51" s="28"/>
      <c r="J51" s="29">
        <f t="shared" si="33"/>
        <v>0</v>
      </c>
      <c r="K51" s="28">
        <v>10</v>
      </c>
      <c r="L51" s="28">
        <v>140</v>
      </c>
      <c r="M51" s="29">
        <f>L51*C51</f>
        <v>89.600000000000009</v>
      </c>
      <c r="N51" s="28">
        <v>32</v>
      </c>
      <c r="O51" s="28">
        <v>448</v>
      </c>
      <c r="P51" s="29">
        <f t="shared" si="28"/>
        <v>286.72000000000003</v>
      </c>
      <c r="Q51" s="28"/>
      <c r="R51" s="28"/>
      <c r="S51" s="29">
        <f t="shared" si="29"/>
        <v>0</v>
      </c>
      <c r="T51" s="28">
        <v>5</v>
      </c>
      <c r="U51" s="28">
        <v>70</v>
      </c>
      <c r="V51" s="29">
        <f t="shared" si="30"/>
        <v>44.800000000000004</v>
      </c>
      <c r="W51" s="28">
        <v>3</v>
      </c>
      <c r="X51" s="28">
        <v>42</v>
      </c>
      <c r="Y51" s="29">
        <f t="shared" si="31"/>
        <v>26.88</v>
      </c>
      <c r="Z51" s="28">
        <v>2</v>
      </c>
      <c r="AA51" s="28">
        <v>28</v>
      </c>
      <c r="AB51" s="28">
        <v>17.920000000000002</v>
      </c>
      <c r="AC51" s="28">
        <v>10</v>
      </c>
      <c r="AD51" s="28">
        <v>140</v>
      </c>
      <c r="AE51" s="28">
        <v>89.600000000000009</v>
      </c>
      <c r="AF51" s="28">
        <v>12</v>
      </c>
      <c r="AG51" s="28">
        <v>168</v>
      </c>
      <c r="AH51" s="28">
        <v>107.52000000000001</v>
      </c>
      <c r="AI51" s="28">
        <v>16</v>
      </c>
      <c r="AJ51" s="28">
        <v>224</v>
      </c>
      <c r="AK51" s="28">
        <v>143.36000000000001</v>
      </c>
      <c r="AL51" s="28"/>
      <c r="AM51" s="28"/>
      <c r="AN51" s="28"/>
      <c r="AO51" s="28"/>
      <c r="AP51" s="28"/>
      <c r="AQ51" s="28"/>
    </row>
    <row r="52" spans="1:43" ht="20.100000000000001" customHeight="1" x14ac:dyDescent="0.5">
      <c r="A52" s="29"/>
      <c r="B52" s="30" t="s">
        <v>149</v>
      </c>
      <c r="C52" s="1">
        <v>0.64</v>
      </c>
      <c r="D52" s="1"/>
      <c r="E52" s="95"/>
      <c r="F52" s="95"/>
      <c r="G52" s="95"/>
      <c r="H52" s="28"/>
      <c r="I52" s="28"/>
      <c r="J52" s="29"/>
      <c r="K52" s="28"/>
      <c r="L52" s="28"/>
      <c r="M52" s="29"/>
      <c r="N52" s="28"/>
      <c r="O52" s="28"/>
      <c r="P52" s="29"/>
      <c r="Q52" s="28"/>
      <c r="R52" s="28"/>
      <c r="S52" s="29"/>
      <c r="T52" s="28"/>
      <c r="U52" s="28"/>
      <c r="V52" s="29"/>
      <c r="W52" s="28"/>
      <c r="X52" s="28"/>
      <c r="Y52" s="29"/>
      <c r="Z52" s="28"/>
      <c r="AA52" s="28"/>
      <c r="AB52" s="28"/>
      <c r="AC52" s="28"/>
      <c r="AD52" s="28"/>
      <c r="AE52" s="28"/>
      <c r="AF52" s="28">
        <v>0.35714285714285715</v>
      </c>
      <c r="AG52" s="28">
        <v>5</v>
      </c>
      <c r="AH52" s="28">
        <v>3.2</v>
      </c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ht="20.100000000000001" customHeight="1" x14ac:dyDescent="0.5">
      <c r="A53" s="29">
        <v>13</v>
      </c>
      <c r="B53" s="30" t="s">
        <v>92</v>
      </c>
      <c r="C53" s="30">
        <v>0.64</v>
      </c>
      <c r="D53" s="30" t="s">
        <v>98</v>
      </c>
      <c r="E53" s="95">
        <v>650</v>
      </c>
      <c r="F53" s="95">
        <v>15600</v>
      </c>
      <c r="G53" s="95">
        <v>9984</v>
      </c>
      <c r="H53" s="28">
        <v>629</v>
      </c>
      <c r="I53" s="28">
        <v>15096</v>
      </c>
      <c r="J53" s="29">
        <f t="shared" si="33"/>
        <v>9661.44</v>
      </c>
      <c r="K53" s="28">
        <v>723</v>
      </c>
      <c r="L53" s="28">
        <v>17352</v>
      </c>
      <c r="M53" s="29">
        <f>L53*C53</f>
        <v>11105.28</v>
      </c>
      <c r="N53" s="28">
        <v>613</v>
      </c>
      <c r="O53" s="28">
        <v>14712</v>
      </c>
      <c r="P53" s="29">
        <f t="shared" si="28"/>
        <v>9415.68</v>
      </c>
      <c r="Q53" s="28">
        <v>725</v>
      </c>
      <c r="R53" s="28">
        <v>17400</v>
      </c>
      <c r="S53" s="29">
        <f t="shared" si="29"/>
        <v>11136</v>
      </c>
      <c r="T53" s="28">
        <v>775</v>
      </c>
      <c r="U53" s="28">
        <v>18600</v>
      </c>
      <c r="V53" s="29">
        <f t="shared" si="30"/>
        <v>11904</v>
      </c>
      <c r="W53" s="28">
        <v>610</v>
      </c>
      <c r="X53" s="28">
        <v>14640</v>
      </c>
      <c r="Y53" s="29">
        <f t="shared" si="31"/>
        <v>9369.6</v>
      </c>
      <c r="Z53" s="28">
        <v>530</v>
      </c>
      <c r="AA53" s="28">
        <v>12720</v>
      </c>
      <c r="AB53" s="28">
        <v>8140.7999999999993</v>
      </c>
      <c r="AC53" s="28">
        <v>670</v>
      </c>
      <c r="AD53" s="28">
        <v>16080</v>
      </c>
      <c r="AE53" s="28">
        <v>10291.200000000001</v>
      </c>
      <c r="AF53" s="28">
        <v>650</v>
      </c>
      <c r="AG53" s="28">
        <v>15600</v>
      </c>
      <c r="AH53" s="28">
        <v>9984</v>
      </c>
      <c r="AI53" s="28">
        <v>609</v>
      </c>
      <c r="AJ53" s="28">
        <v>14616</v>
      </c>
      <c r="AK53" s="28">
        <v>9354.24</v>
      </c>
      <c r="AL53" s="28">
        <v>680</v>
      </c>
      <c r="AM53" s="28">
        <v>16320</v>
      </c>
      <c r="AN53" s="28">
        <v>10444.799999999999</v>
      </c>
      <c r="AO53" s="28"/>
      <c r="AP53" s="28"/>
      <c r="AQ53" s="28"/>
    </row>
    <row r="54" spans="1:43" ht="20.100000000000001" customHeight="1" x14ac:dyDescent="0.5">
      <c r="A54" s="29">
        <v>14</v>
      </c>
      <c r="B54" s="30" t="s">
        <v>8</v>
      </c>
      <c r="C54" s="30">
        <v>0.7</v>
      </c>
      <c r="D54" s="1" t="s">
        <v>96</v>
      </c>
      <c r="E54" s="113">
        <v>2.4166666666666665</v>
      </c>
      <c r="F54" s="113">
        <v>29</v>
      </c>
      <c r="G54" s="113">
        <v>20.3</v>
      </c>
      <c r="H54" s="29">
        <v>3</v>
      </c>
      <c r="I54" s="29">
        <v>42</v>
      </c>
      <c r="J54" s="84">
        <f>C54*I54</f>
        <v>29.4</v>
      </c>
      <c r="K54" s="29">
        <v>4</v>
      </c>
      <c r="L54" s="29">
        <v>48</v>
      </c>
      <c r="M54" s="116">
        <f>L54*C54</f>
        <v>33.599999999999994</v>
      </c>
      <c r="N54" s="29">
        <v>3</v>
      </c>
      <c r="O54" s="29">
        <v>36</v>
      </c>
      <c r="P54" s="84">
        <f>C54*O54</f>
        <v>25.2</v>
      </c>
      <c r="Q54" s="29">
        <v>3</v>
      </c>
      <c r="R54" s="29">
        <v>36</v>
      </c>
      <c r="S54" s="84">
        <f>R54*C54</f>
        <v>25.2</v>
      </c>
      <c r="T54" s="57"/>
      <c r="U54" s="57"/>
      <c r="V54" s="29">
        <f t="shared" si="30"/>
        <v>0</v>
      </c>
      <c r="W54" s="57">
        <v>4</v>
      </c>
      <c r="X54" s="57">
        <v>48</v>
      </c>
      <c r="Y54" s="29">
        <f t="shared" si="31"/>
        <v>33.599999999999994</v>
      </c>
      <c r="Z54" s="57">
        <v>1.9166666666666665</v>
      </c>
      <c r="AA54" s="57">
        <v>23</v>
      </c>
      <c r="AB54" s="57">
        <v>16.099999999999998</v>
      </c>
      <c r="AC54" s="57">
        <v>0.5</v>
      </c>
      <c r="AD54" s="57">
        <v>6</v>
      </c>
      <c r="AE54" s="57">
        <v>4.1999999999999993</v>
      </c>
      <c r="AF54" s="57">
        <v>1.6666666666666665</v>
      </c>
      <c r="AG54" s="57">
        <v>20</v>
      </c>
      <c r="AH54" s="57">
        <v>14</v>
      </c>
      <c r="AI54" s="57">
        <v>1</v>
      </c>
      <c r="AJ54" s="57">
        <v>12</v>
      </c>
      <c r="AK54" s="57">
        <v>8.3999999999999986</v>
      </c>
      <c r="AL54" s="57">
        <v>0.33333333333333331</v>
      </c>
      <c r="AM54" s="57">
        <v>4</v>
      </c>
      <c r="AN54" s="57">
        <v>2.8</v>
      </c>
      <c r="AO54" s="57"/>
      <c r="AP54" s="57"/>
      <c r="AQ54" s="57"/>
    </row>
    <row r="55" spans="1:43" ht="20.100000000000001" customHeight="1" x14ac:dyDescent="0.5">
      <c r="A55" s="29">
        <v>15</v>
      </c>
      <c r="B55" s="30" t="s">
        <v>7</v>
      </c>
      <c r="C55" s="30">
        <v>0.35</v>
      </c>
      <c r="D55" s="1" t="s">
        <v>98</v>
      </c>
      <c r="E55" s="113"/>
      <c r="F55" s="113"/>
      <c r="G55" s="113"/>
      <c r="H55" s="57"/>
      <c r="I55" s="57"/>
      <c r="J55" s="84"/>
      <c r="K55" s="57"/>
      <c r="L55" s="57"/>
      <c r="M55" s="84"/>
      <c r="N55" s="57"/>
      <c r="O55" s="57"/>
      <c r="P55" s="84"/>
      <c r="Q55" s="57"/>
      <c r="R55" s="57"/>
      <c r="S55" s="84"/>
      <c r="T55" s="57"/>
      <c r="U55" s="57"/>
      <c r="V55" s="57"/>
      <c r="W55" s="57"/>
      <c r="X55" s="57"/>
      <c r="Y55" s="84"/>
      <c r="Z55" s="84"/>
      <c r="AA55" s="84">
        <v>3</v>
      </c>
      <c r="AB55" s="84">
        <v>1.0499999999999998</v>
      </c>
      <c r="AC55" s="57">
        <v>0.20833333333333334</v>
      </c>
      <c r="AD55" s="57">
        <v>5</v>
      </c>
      <c r="AE55" s="57">
        <v>1.75</v>
      </c>
      <c r="AF55" s="57">
        <v>0.41666666666666669</v>
      </c>
      <c r="AG55" s="57">
        <v>10</v>
      </c>
      <c r="AH55" s="57">
        <v>3.5</v>
      </c>
      <c r="AI55" s="57">
        <v>0.25</v>
      </c>
      <c r="AJ55" s="57">
        <v>6</v>
      </c>
      <c r="AK55" s="57">
        <v>2.0999999999999996</v>
      </c>
      <c r="AL55" s="57">
        <v>1.875</v>
      </c>
      <c r="AM55" s="57">
        <v>45</v>
      </c>
      <c r="AN55" s="57">
        <v>15.749999999999998</v>
      </c>
      <c r="AO55" s="57"/>
      <c r="AP55" s="57"/>
      <c r="AQ55" s="57"/>
    </row>
    <row r="56" spans="1:43" s="41" customFormat="1" ht="20.100000000000001" customHeight="1" x14ac:dyDescent="0.5">
      <c r="A56" s="24"/>
      <c r="B56" s="239" t="s">
        <v>10</v>
      </c>
      <c r="C56" s="240"/>
      <c r="D56" s="241"/>
      <c r="E56" s="22">
        <f t="shared" ref="E56:S56" si="35">SUM(E39:E55)</f>
        <v>4937.416666666667</v>
      </c>
      <c r="F56" s="22">
        <f t="shared" si="35"/>
        <v>72061</v>
      </c>
      <c r="G56" s="22">
        <f t="shared" si="35"/>
        <v>53802.460000000006</v>
      </c>
      <c r="H56" s="22">
        <f t="shared" si="35"/>
        <v>5063</v>
      </c>
      <c r="I56" s="22">
        <f t="shared" si="35"/>
        <v>73600</v>
      </c>
      <c r="J56" s="22">
        <f t="shared" si="35"/>
        <v>54732.040000000008</v>
      </c>
      <c r="K56" s="22">
        <f t="shared" si="35"/>
        <v>5946</v>
      </c>
      <c r="L56" s="22">
        <f t="shared" si="35"/>
        <v>87386</v>
      </c>
      <c r="M56" s="22">
        <f t="shared" si="35"/>
        <v>62489.119999999995</v>
      </c>
      <c r="N56" s="22">
        <f t="shared" si="35"/>
        <v>3782</v>
      </c>
      <c r="O56" s="22">
        <f t="shared" si="35"/>
        <v>57052</v>
      </c>
      <c r="P56" s="22">
        <f t="shared" si="35"/>
        <v>40867.839999999997</v>
      </c>
      <c r="Q56" s="22">
        <f t="shared" si="35"/>
        <v>6643</v>
      </c>
      <c r="R56" s="22">
        <f t="shared" si="35"/>
        <v>94218</v>
      </c>
      <c r="S56" s="22">
        <f t="shared" si="35"/>
        <v>73311.360000000001</v>
      </c>
      <c r="T56" s="22">
        <f>SUM(T39:T53)</f>
        <v>5105</v>
      </c>
      <c r="U56" s="22">
        <f>SUM(U39:U53)</f>
        <v>75020</v>
      </c>
      <c r="V56" s="22">
        <f>SUM(V39:V54)</f>
        <v>56777.600000000006</v>
      </c>
      <c r="W56" s="22">
        <f>SUM(W39:W54)</f>
        <v>4772</v>
      </c>
      <c r="X56" s="22">
        <f>SUM(X39:X54)</f>
        <v>69718</v>
      </c>
      <c r="Y56" s="22">
        <f>SUM(Y39:Y54)</f>
        <v>51481.119999999988</v>
      </c>
      <c r="Z56" s="22">
        <f t="shared" ref="Z56:AG56" si="36">SUM(Z39:Z55)</f>
        <v>5152.5000000000009</v>
      </c>
      <c r="AA56" s="22">
        <f t="shared" si="36"/>
        <v>73507</v>
      </c>
      <c r="AB56" s="22">
        <f t="shared" si="36"/>
        <v>55470.07</v>
      </c>
      <c r="AC56" s="22">
        <f t="shared" si="36"/>
        <v>4929.375</v>
      </c>
      <c r="AD56" s="22">
        <f t="shared" si="36"/>
        <v>71613</v>
      </c>
      <c r="AE56" s="22">
        <f t="shared" si="36"/>
        <v>54656.990000000005</v>
      </c>
      <c r="AF56" s="22">
        <f t="shared" si="36"/>
        <v>4818.5833333333339</v>
      </c>
      <c r="AG56" s="22">
        <f t="shared" si="36"/>
        <v>70493</v>
      </c>
      <c r="AH56" s="22">
        <f t="shared" ref="AH56" si="37">SUM(AH39:AH55)</f>
        <v>52464.299999999996</v>
      </c>
      <c r="AI56" s="22">
        <f>SUM(AI39:AI55)</f>
        <v>4006.25</v>
      </c>
      <c r="AJ56" s="22">
        <f t="shared" ref="AJ56:AK56" si="38">SUM(AJ39:AJ55)</f>
        <v>59132</v>
      </c>
      <c r="AK56" s="22">
        <f t="shared" si="38"/>
        <v>44412.020000000004</v>
      </c>
      <c r="AL56" s="22">
        <f>SUM(AL39:AL55)</f>
        <v>4611.208333333333</v>
      </c>
      <c r="AM56" s="22">
        <f>SUM(AM39:AM55)</f>
        <v>68033</v>
      </c>
      <c r="AN56" s="22">
        <f>SUM(AN39:AN55)</f>
        <v>50739.83</v>
      </c>
      <c r="AO56" s="22">
        <f t="shared" ref="AO56:AQ56" si="39">SUM(AO39:AO53)</f>
        <v>0</v>
      </c>
      <c r="AP56" s="22">
        <f t="shared" si="39"/>
        <v>0</v>
      </c>
      <c r="AQ56" s="22">
        <f t="shared" si="39"/>
        <v>0</v>
      </c>
    </row>
    <row r="57" spans="1:43" ht="20.100000000000001" customHeight="1" x14ac:dyDescent="0.5">
      <c r="A57" s="39"/>
      <c r="B57" s="30"/>
      <c r="C57" s="30"/>
      <c r="D57" s="30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</row>
    <row r="58" spans="1:43" ht="20.100000000000001" customHeight="1" x14ac:dyDescent="0.5">
      <c r="A58" s="39">
        <v>1</v>
      </c>
      <c r="B58" s="30" t="s">
        <v>6</v>
      </c>
      <c r="C58" s="1">
        <v>0.7</v>
      </c>
      <c r="D58" s="1" t="s">
        <v>96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>
        <v>1</v>
      </c>
      <c r="U58" s="29">
        <v>12</v>
      </c>
      <c r="V58" s="29">
        <f>U58*C58</f>
        <v>8.3999999999999986</v>
      </c>
      <c r="W58" s="29">
        <v>1</v>
      </c>
      <c r="X58" s="29">
        <v>12</v>
      </c>
      <c r="Y58" s="29">
        <v>8.3999999999999986</v>
      </c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</row>
    <row r="59" spans="1:43" ht="20.100000000000001" customHeight="1" x14ac:dyDescent="0.5">
      <c r="A59" s="39">
        <v>2</v>
      </c>
      <c r="B59" s="30" t="s">
        <v>5</v>
      </c>
      <c r="C59" s="1">
        <v>0.35</v>
      </c>
      <c r="D59" s="1" t="s">
        <v>98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>
        <f t="shared" ref="V59:V64" si="40">U59*C59</f>
        <v>0</v>
      </c>
      <c r="W59" s="29"/>
      <c r="X59" s="29"/>
      <c r="Y59" s="29">
        <f t="shared" ref="Y59:Y63" si="41">X59*C59</f>
        <v>0</v>
      </c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ht="20.100000000000001" customHeight="1" x14ac:dyDescent="0.5">
      <c r="A60" s="39">
        <v>3</v>
      </c>
      <c r="B60" s="30" t="s">
        <v>4</v>
      </c>
      <c r="C60" s="1">
        <v>0.17499999999999999</v>
      </c>
      <c r="D60" s="1" t="s">
        <v>100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>
        <f t="shared" si="40"/>
        <v>0</v>
      </c>
      <c r="W60" s="29"/>
      <c r="X60" s="29"/>
      <c r="Y60" s="29">
        <f t="shared" si="41"/>
        <v>0</v>
      </c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0.100000000000001" customHeight="1" x14ac:dyDescent="0.5">
      <c r="A61" s="39">
        <v>4</v>
      </c>
      <c r="B61" s="30" t="s">
        <v>3</v>
      </c>
      <c r="C61" s="1">
        <v>0.7</v>
      </c>
      <c r="D61" s="1" t="s">
        <v>96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>
        <f t="shared" si="40"/>
        <v>0</v>
      </c>
      <c r="W61" s="29">
        <v>5</v>
      </c>
      <c r="X61" s="29">
        <v>60</v>
      </c>
      <c r="Y61" s="29">
        <v>42</v>
      </c>
      <c r="Z61" s="29"/>
      <c r="AA61" s="29"/>
      <c r="AB61" s="29"/>
      <c r="AC61" s="29">
        <v>1</v>
      </c>
      <c r="AD61" s="29">
        <v>12</v>
      </c>
      <c r="AE61" s="29">
        <v>8.4</v>
      </c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ht="20.100000000000001" customHeight="1" x14ac:dyDescent="0.5">
      <c r="A62" s="29">
        <v>1</v>
      </c>
      <c r="B62" s="30" t="s">
        <v>2</v>
      </c>
      <c r="C62" s="1">
        <v>0.35</v>
      </c>
      <c r="D62" s="1" t="s">
        <v>98</v>
      </c>
      <c r="E62" s="29">
        <v>1</v>
      </c>
      <c r="F62" s="29">
        <v>24</v>
      </c>
      <c r="G62" s="29">
        <v>8.3999999999999986</v>
      </c>
      <c r="H62" s="29"/>
      <c r="I62" s="29"/>
      <c r="J62" s="29"/>
      <c r="K62" s="29"/>
      <c r="L62" s="29"/>
      <c r="M62" s="29"/>
      <c r="N62" s="29"/>
      <c r="O62" s="29"/>
      <c r="P62" s="29"/>
      <c r="Q62" s="29">
        <v>1</v>
      </c>
      <c r="R62" s="29">
        <v>24</v>
      </c>
      <c r="S62" s="29">
        <f>R62*C62</f>
        <v>8.3999999999999986</v>
      </c>
      <c r="T62" s="29"/>
      <c r="U62" s="29"/>
      <c r="V62" s="29">
        <f t="shared" si="40"/>
        <v>0</v>
      </c>
      <c r="W62" s="29"/>
      <c r="X62" s="29"/>
      <c r="Y62" s="29">
        <f t="shared" si="41"/>
        <v>0</v>
      </c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ht="20.100000000000001" customHeight="1" x14ac:dyDescent="0.5">
      <c r="A63" s="29">
        <v>6</v>
      </c>
      <c r="B63" s="30" t="s">
        <v>1</v>
      </c>
      <c r="C63" s="1">
        <v>0.17499999999999999</v>
      </c>
      <c r="D63" s="1" t="s">
        <v>100</v>
      </c>
      <c r="E63" s="29"/>
      <c r="F63" s="29"/>
      <c r="G63" s="29">
        <f t="shared" ref="G63:G64" si="42">F63*C63</f>
        <v>0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>
        <f t="shared" ref="S63:S64" si="43">R63*C63</f>
        <v>0</v>
      </c>
      <c r="T63" s="29"/>
      <c r="U63" s="29"/>
      <c r="V63" s="29">
        <f t="shared" si="40"/>
        <v>0</v>
      </c>
      <c r="W63" s="29"/>
      <c r="X63" s="29"/>
      <c r="Y63" s="29">
        <f t="shared" si="41"/>
        <v>0</v>
      </c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ht="20.100000000000001" customHeight="1" x14ac:dyDescent="0.5">
      <c r="A64" s="29">
        <v>7</v>
      </c>
      <c r="B64" s="30" t="s">
        <v>0</v>
      </c>
      <c r="C64" s="1">
        <v>0.7</v>
      </c>
      <c r="D64" s="1" t="s">
        <v>96</v>
      </c>
      <c r="E64" s="29"/>
      <c r="F64" s="29"/>
      <c r="G64" s="29">
        <f t="shared" si="42"/>
        <v>0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>
        <f t="shared" si="43"/>
        <v>0</v>
      </c>
      <c r="T64" s="29"/>
      <c r="U64" s="29"/>
      <c r="V64" s="29">
        <f t="shared" si="40"/>
        <v>0</v>
      </c>
      <c r="W64" s="29"/>
      <c r="X64" s="29"/>
      <c r="Y64" s="29">
        <f>X64*C64</f>
        <v>0</v>
      </c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</row>
    <row r="65" spans="1:43" ht="20.100000000000001" customHeight="1" x14ac:dyDescent="0.5">
      <c r="A65" s="46"/>
      <c r="B65" s="239" t="s">
        <v>10</v>
      </c>
      <c r="C65" s="240"/>
      <c r="D65" s="241"/>
      <c r="E65" s="22">
        <f t="shared" ref="E65:AN65" si="44">SUM(E58:E64)</f>
        <v>1</v>
      </c>
      <c r="F65" s="22">
        <f t="shared" si="44"/>
        <v>24</v>
      </c>
      <c r="G65" s="22">
        <f t="shared" si="44"/>
        <v>8.3999999999999986</v>
      </c>
      <c r="H65" s="22">
        <f t="shared" si="44"/>
        <v>0</v>
      </c>
      <c r="I65" s="22">
        <f t="shared" si="44"/>
        <v>0</v>
      </c>
      <c r="J65" s="22">
        <f t="shared" si="44"/>
        <v>0</v>
      </c>
      <c r="K65" s="22">
        <f t="shared" si="44"/>
        <v>0</v>
      </c>
      <c r="L65" s="22">
        <f t="shared" si="44"/>
        <v>0</v>
      </c>
      <c r="M65" s="22">
        <f t="shared" si="44"/>
        <v>0</v>
      </c>
      <c r="N65" s="22">
        <f t="shared" si="44"/>
        <v>0</v>
      </c>
      <c r="O65" s="22">
        <f t="shared" si="44"/>
        <v>0</v>
      </c>
      <c r="P65" s="22">
        <f t="shared" si="44"/>
        <v>0</v>
      </c>
      <c r="Q65" s="22">
        <f t="shared" si="44"/>
        <v>1</v>
      </c>
      <c r="R65" s="22">
        <f t="shared" si="44"/>
        <v>24</v>
      </c>
      <c r="S65" s="22">
        <f t="shared" si="44"/>
        <v>8.3999999999999986</v>
      </c>
      <c r="T65" s="22">
        <f t="shared" si="44"/>
        <v>1</v>
      </c>
      <c r="U65" s="22">
        <f t="shared" si="44"/>
        <v>12</v>
      </c>
      <c r="V65" s="22">
        <f t="shared" si="44"/>
        <v>8.3999999999999986</v>
      </c>
      <c r="W65" s="22">
        <f t="shared" si="44"/>
        <v>6</v>
      </c>
      <c r="X65" s="22">
        <f t="shared" si="44"/>
        <v>72</v>
      </c>
      <c r="Y65" s="22">
        <f t="shared" si="44"/>
        <v>50.4</v>
      </c>
      <c r="Z65" s="22">
        <f t="shared" si="44"/>
        <v>0</v>
      </c>
      <c r="AA65" s="22">
        <f t="shared" si="44"/>
        <v>0</v>
      </c>
      <c r="AB65" s="22">
        <f t="shared" si="44"/>
        <v>0</v>
      </c>
      <c r="AC65" s="22">
        <f t="shared" si="44"/>
        <v>1</v>
      </c>
      <c r="AD65" s="22">
        <f t="shared" si="44"/>
        <v>12</v>
      </c>
      <c r="AE65" s="22">
        <f t="shared" si="44"/>
        <v>8.4</v>
      </c>
      <c r="AF65" s="22">
        <f t="shared" si="44"/>
        <v>0</v>
      </c>
      <c r="AG65" s="22">
        <f t="shared" si="44"/>
        <v>0</v>
      </c>
      <c r="AH65" s="22">
        <f t="shared" si="44"/>
        <v>0</v>
      </c>
      <c r="AI65" s="22">
        <f t="shared" si="44"/>
        <v>0</v>
      </c>
      <c r="AJ65" s="22">
        <f t="shared" si="44"/>
        <v>0</v>
      </c>
      <c r="AK65" s="22">
        <f t="shared" si="44"/>
        <v>0</v>
      </c>
      <c r="AL65" s="22">
        <f t="shared" si="44"/>
        <v>0</v>
      </c>
      <c r="AM65" s="22">
        <f t="shared" si="44"/>
        <v>0</v>
      </c>
      <c r="AN65" s="22">
        <f t="shared" si="44"/>
        <v>0</v>
      </c>
      <c r="AO65" s="22">
        <f t="shared" ref="AO65:AQ65" si="45">SUM(AO58:AO64)</f>
        <v>0</v>
      </c>
      <c r="AP65" s="22">
        <f t="shared" si="45"/>
        <v>0</v>
      </c>
      <c r="AQ65" s="22">
        <f t="shared" si="45"/>
        <v>0</v>
      </c>
    </row>
    <row r="66" spans="1:43" s="44" customFormat="1" ht="20.100000000000001" customHeight="1" x14ac:dyDescent="0.5">
      <c r="A66" s="45"/>
      <c r="B66" s="242" t="s">
        <v>49</v>
      </c>
      <c r="C66" s="243"/>
      <c r="D66" s="244"/>
      <c r="E66" s="59">
        <f t="shared" ref="E66:U66" si="46">E56+E65</f>
        <v>4938.416666666667</v>
      </c>
      <c r="F66" s="38">
        <f t="shared" si="46"/>
        <v>72085</v>
      </c>
      <c r="G66" s="38">
        <f t="shared" si="46"/>
        <v>53810.860000000008</v>
      </c>
      <c r="H66" s="38">
        <f t="shared" si="46"/>
        <v>5063</v>
      </c>
      <c r="I66" s="38">
        <f t="shared" si="46"/>
        <v>73600</v>
      </c>
      <c r="J66" s="38">
        <f t="shared" si="46"/>
        <v>54732.040000000008</v>
      </c>
      <c r="K66" s="38">
        <f t="shared" si="46"/>
        <v>5946</v>
      </c>
      <c r="L66" s="38">
        <f t="shared" si="46"/>
        <v>87386</v>
      </c>
      <c r="M66" s="89">
        <f t="shared" si="46"/>
        <v>62489.119999999995</v>
      </c>
      <c r="N66" s="38">
        <f t="shared" si="46"/>
        <v>3782</v>
      </c>
      <c r="O66" s="38">
        <f t="shared" si="46"/>
        <v>57052</v>
      </c>
      <c r="P66" s="37">
        <f t="shared" si="46"/>
        <v>40867.839999999997</v>
      </c>
      <c r="Q66" s="38">
        <f t="shared" si="46"/>
        <v>6644</v>
      </c>
      <c r="R66" s="38">
        <f t="shared" si="46"/>
        <v>94242</v>
      </c>
      <c r="S66" s="37">
        <f t="shared" si="46"/>
        <v>73319.759999999995</v>
      </c>
      <c r="T66" s="38">
        <f t="shared" si="46"/>
        <v>5106</v>
      </c>
      <c r="U66" s="38">
        <f t="shared" si="46"/>
        <v>75032</v>
      </c>
      <c r="V66" s="37">
        <f>V56+V65</f>
        <v>56786.000000000007</v>
      </c>
      <c r="W66" s="38">
        <f>W56+W65</f>
        <v>4778</v>
      </c>
      <c r="X66" s="38">
        <f>X56+X65</f>
        <v>69790</v>
      </c>
      <c r="Y66" s="37">
        <f>Y56+Y65</f>
        <v>51531.51999999999</v>
      </c>
      <c r="Z66" s="38">
        <f>Z56+Z65</f>
        <v>5152.5000000000009</v>
      </c>
      <c r="AA66" s="38"/>
      <c r="AB66" s="37">
        <f>AB56+AB65</f>
        <v>55470.07</v>
      </c>
      <c r="AC66" s="38">
        <f>AC56+AC65</f>
        <v>4930.375</v>
      </c>
      <c r="AD66" s="38"/>
      <c r="AE66" s="37">
        <f>AE56+AE65</f>
        <v>54665.390000000007</v>
      </c>
      <c r="AF66" s="38">
        <f>AF56+AF65</f>
        <v>4818.5833333333339</v>
      </c>
      <c r="AG66" s="38"/>
      <c r="AH66" s="37">
        <f>AH56+AH65</f>
        <v>52464.299999999996</v>
      </c>
      <c r="AI66" s="38">
        <f>AI56+AI65</f>
        <v>4006.25</v>
      </c>
      <c r="AJ66" s="38"/>
      <c r="AK66" s="37">
        <f>AK56+AK65</f>
        <v>44412.020000000004</v>
      </c>
      <c r="AL66" s="38">
        <f>AL56+AL65</f>
        <v>4611.208333333333</v>
      </c>
      <c r="AM66" s="38"/>
      <c r="AN66" s="37">
        <f>AN56+AN65</f>
        <v>50739.83</v>
      </c>
      <c r="AO66" s="38">
        <f>AO56+AO65</f>
        <v>0</v>
      </c>
      <c r="AP66" s="38"/>
      <c r="AQ66" s="37">
        <f>AQ56+AQ65</f>
        <v>0</v>
      </c>
    </row>
    <row r="68" spans="1:43" x14ac:dyDescent="0.5">
      <c r="F68" s="53"/>
      <c r="G68" s="53"/>
    </row>
    <row r="69" spans="1:43" x14ac:dyDescent="0.5">
      <c r="B69" s="41" t="s">
        <v>154</v>
      </c>
    </row>
    <row r="71" spans="1:43" x14ac:dyDescent="0.5">
      <c r="B71" s="245" t="s">
        <v>51</v>
      </c>
      <c r="C71" s="247" t="s">
        <v>117</v>
      </c>
      <c r="D71" s="247" t="s">
        <v>95</v>
      </c>
      <c r="E71" s="236" t="s">
        <v>113</v>
      </c>
      <c r="F71" s="237"/>
      <c r="G71" s="238"/>
      <c r="H71" s="236" t="s">
        <v>58</v>
      </c>
      <c r="I71" s="237"/>
      <c r="J71" s="238"/>
      <c r="K71" s="236" t="s">
        <v>59</v>
      </c>
      <c r="L71" s="237"/>
      <c r="M71" s="238"/>
      <c r="N71" s="236" t="s">
        <v>60</v>
      </c>
      <c r="O71" s="237"/>
      <c r="P71" s="238"/>
      <c r="Q71" s="236" t="s">
        <v>61</v>
      </c>
      <c r="R71" s="237"/>
      <c r="S71" s="238"/>
      <c r="T71" s="236" t="s">
        <v>62</v>
      </c>
      <c r="U71" s="237"/>
      <c r="V71" s="238"/>
      <c r="W71" s="236" t="s">
        <v>63</v>
      </c>
      <c r="X71" s="237"/>
      <c r="Y71" s="238"/>
      <c r="Z71" s="236" t="s">
        <v>64</v>
      </c>
      <c r="AA71" s="237"/>
      <c r="AB71" s="238"/>
      <c r="AC71" s="236" t="s">
        <v>65</v>
      </c>
      <c r="AD71" s="237"/>
      <c r="AE71" s="238"/>
      <c r="AF71" s="236" t="s">
        <v>18</v>
      </c>
      <c r="AG71" s="237"/>
      <c r="AH71" s="238"/>
      <c r="AI71" s="236" t="s">
        <v>17</v>
      </c>
      <c r="AJ71" s="237"/>
      <c r="AK71" s="238"/>
      <c r="AL71" s="236" t="s">
        <v>16</v>
      </c>
      <c r="AM71" s="237"/>
      <c r="AN71" s="238"/>
      <c r="AO71" s="236" t="s">
        <v>10</v>
      </c>
      <c r="AP71" s="237"/>
      <c r="AQ71" s="238"/>
    </row>
    <row r="72" spans="1:43" x14ac:dyDescent="0.5">
      <c r="B72" s="246"/>
      <c r="C72" s="248"/>
      <c r="D72" s="248"/>
      <c r="E72" s="40" t="s">
        <v>50</v>
      </c>
      <c r="F72" s="40" t="s">
        <v>56</v>
      </c>
      <c r="G72" s="40" t="s">
        <v>93</v>
      </c>
      <c r="H72" s="40" t="s">
        <v>50</v>
      </c>
      <c r="I72" s="40" t="s">
        <v>56</v>
      </c>
      <c r="J72" s="40" t="s">
        <v>57</v>
      </c>
      <c r="K72" s="40" t="s">
        <v>50</v>
      </c>
      <c r="L72" s="40" t="s">
        <v>56</v>
      </c>
      <c r="M72" s="40" t="s">
        <v>57</v>
      </c>
      <c r="N72" s="40" t="s">
        <v>50</v>
      </c>
      <c r="O72" s="40" t="s">
        <v>56</v>
      </c>
      <c r="P72" s="40" t="s">
        <v>57</v>
      </c>
      <c r="Q72" s="40" t="s">
        <v>50</v>
      </c>
      <c r="R72" s="40" t="s">
        <v>56</v>
      </c>
      <c r="S72" s="40" t="s">
        <v>57</v>
      </c>
      <c r="T72" s="40" t="s">
        <v>50</v>
      </c>
      <c r="U72" s="40" t="s">
        <v>56</v>
      </c>
      <c r="V72" s="40" t="s">
        <v>57</v>
      </c>
      <c r="W72" s="40" t="s">
        <v>50</v>
      </c>
      <c r="X72" s="40" t="s">
        <v>56</v>
      </c>
      <c r="Y72" s="40" t="s">
        <v>57</v>
      </c>
      <c r="Z72" s="40" t="s">
        <v>50</v>
      </c>
      <c r="AA72" s="40" t="s">
        <v>56</v>
      </c>
      <c r="AB72" s="40" t="s">
        <v>57</v>
      </c>
      <c r="AC72" s="40" t="s">
        <v>50</v>
      </c>
      <c r="AD72" s="40" t="s">
        <v>56</v>
      </c>
      <c r="AE72" s="40" t="s">
        <v>57</v>
      </c>
      <c r="AF72" s="40" t="s">
        <v>50</v>
      </c>
      <c r="AG72" s="40" t="s">
        <v>56</v>
      </c>
      <c r="AH72" s="40" t="s">
        <v>57</v>
      </c>
      <c r="AI72" s="40" t="s">
        <v>50</v>
      </c>
      <c r="AJ72" s="40" t="s">
        <v>56</v>
      </c>
      <c r="AK72" s="40" t="s">
        <v>57</v>
      </c>
      <c r="AL72" s="40" t="s">
        <v>50</v>
      </c>
      <c r="AM72" s="40" t="s">
        <v>56</v>
      </c>
      <c r="AN72" s="40" t="s">
        <v>57</v>
      </c>
      <c r="AO72" s="40" t="s">
        <v>50</v>
      </c>
      <c r="AP72" s="40" t="s">
        <v>56</v>
      </c>
      <c r="AQ72" s="40" t="s">
        <v>57</v>
      </c>
    </row>
    <row r="73" spans="1:43" x14ac:dyDescent="0.5">
      <c r="B73" s="1" t="s">
        <v>67</v>
      </c>
      <c r="C73" s="34">
        <v>0.7</v>
      </c>
      <c r="D73" s="34" t="s">
        <v>96</v>
      </c>
      <c r="E73" s="95"/>
      <c r="F73" s="95"/>
      <c r="G73" s="95"/>
      <c r="H73" s="29">
        <v>16</v>
      </c>
      <c r="I73" s="29">
        <v>192</v>
      </c>
      <c r="J73" s="29">
        <v>134.39999999999998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x14ac:dyDescent="0.5">
      <c r="B74" s="1" t="s">
        <v>118</v>
      </c>
      <c r="C74" s="34">
        <v>0.64</v>
      </c>
      <c r="D74" s="34" t="s">
        <v>119</v>
      </c>
      <c r="E74" s="95"/>
      <c r="F74" s="95"/>
      <c r="G74" s="95"/>
      <c r="H74" s="29">
        <v>1434</v>
      </c>
      <c r="I74" s="29">
        <v>20076</v>
      </c>
      <c r="J74" s="29">
        <v>12848.639999999998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x14ac:dyDescent="0.5">
      <c r="B75" s="1" t="s">
        <v>69</v>
      </c>
      <c r="C75" s="30">
        <v>1</v>
      </c>
      <c r="D75" s="30" t="s">
        <v>96</v>
      </c>
      <c r="E75" s="95">
        <v>239</v>
      </c>
      <c r="F75" s="95">
        <v>2868</v>
      </c>
      <c r="G75" s="95">
        <v>2868</v>
      </c>
      <c r="H75" s="28">
        <v>539</v>
      </c>
      <c r="I75" s="28">
        <v>6468</v>
      </c>
      <c r="J75" s="29">
        <v>6468</v>
      </c>
      <c r="K75" s="28"/>
      <c r="L75" s="28"/>
      <c r="M75" s="29"/>
      <c r="N75" s="28"/>
      <c r="O75" s="28"/>
      <c r="P75" s="29"/>
      <c r="Q75" s="28"/>
      <c r="R75" s="28"/>
      <c r="S75" s="29"/>
      <c r="T75" s="28"/>
      <c r="U75" s="28"/>
      <c r="V75" s="29"/>
      <c r="W75" s="28"/>
      <c r="X75" s="28"/>
      <c r="Y75" s="29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</row>
    <row r="76" spans="1:43" x14ac:dyDescent="0.5">
      <c r="B76" s="1" t="s">
        <v>70</v>
      </c>
      <c r="C76" s="30">
        <v>0.6</v>
      </c>
      <c r="D76" s="30" t="s">
        <v>96</v>
      </c>
      <c r="E76" s="95"/>
      <c r="F76" s="95"/>
      <c r="G76" s="95"/>
      <c r="H76" s="28"/>
      <c r="I76" s="28"/>
      <c r="J76" s="29"/>
      <c r="K76" s="28"/>
      <c r="L76" s="28"/>
      <c r="M76" s="29"/>
      <c r="N76" s="28"/>
      <c r="O76" s="28"/>
      <c r="P76" s="29"/>
      <c r="Q76" s="28"/>
      <c r="R76" s="28"/>
      <c r="S76" s="29"/>
      <c r="T76" s="28"/>
      <c r="U76" s="28"/>
      <c r="V76" s="29"/>
      <c r="W76" s="28"/>
      <c r="X76" s="28"/>
      <c r="Y76" s="29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</row>
    <row r="77" spans="1:43" x14ac:dyDescent="0.5">
      <c r="B77" s="1" t="s">
        <v>71</v>
      </c>
      <c r="C77" s="30">
        <v>0.35</v>
      </c>
      <c r="D77" s="30" t="s">
        <v>97</v>
      </c>
      <c r="E77" s="95">
        <v>1</v>
      </c>
      <c r="F77" s="95">
        <v>40</v>
      </c>
      <c r="G77" s="95">
        <v>14</v>
      </c>
      <c r="H77" s="28"/>
      <c r="I77" s="28"/>
      <c r="J77" s="29"/>
      <c r="K77" s="28"/>
      <c r="L77" s="28"/>
      <c r="M77" s="29"/>
      <c r="N77" s="28"/>
      <c r="O77" s="28"/>
      <c r="P77" s="29"/>
      <c r="Q77" s="28"/>
      <c r="R77" s="28"/>
      <c r="S77" s="29"/>
      <c r="T77" s="28"/>
      <c r="U77" s="28"/>
      <c r="V77" s="29"/>
      <c r="W77" s="28"/>
      <c r="X77" s="28"/>
      <c r="Y77" s="29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</row>
    <row r="78" spans="1:43" x14ac:dyDescent="0.5">
      <c r="B78" s="1" t="s">
        <v>118</v>
      </c>
      <c r="C78" s="30">
        <v>0.64</v>
      </c>
      <c r="D78" s="30" t="s">
        <v>99</v>
      </c>
      <c r="E78" s="95">
        <v>1227</v>
      </c>
      <c r="F78" s="95">
        <v>17178</v>
      </c>
      <c r="G78" s="95">
        <v>10993.920000000002</v>
      </c>
      <c r="H78" s="28"/>
      <c r="I78" s="28"/>
      <c r="J78" s="29"/>
      <c r="K78" s="28"/>
      <c r="L78" s="28"/>
      <c r="M78" s="29"/>
      <c r="N78" s="28"/>
      <c r="O78" s="28"/>
      <c r="P78" s="29"/>
      <c r="Q78" s="28"/>
      <c r="R78" s="28"/>
      <c r="S78" s="29"/>
      <c r="T78" s="28"/>
      <c r="U78" s="28"/>
      <c r="V78" s="29"/>
      <c r="W78" s="28"/>
      <c r="X78" s="28"/>
      <c r="Y78" s="29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</row>
    <row r="79" spans="1:43" x14ac:dyDescent="0.5">
      <c r="B79" s="1" t="s">
        <v>67</v>
      </c>
      <c r="C79" s="30">
        <v>0.7</v>
      </c>
      <c r="D79" s="30" t="s">
        <v>135</v>
      </c>
      <c r="E79" s="95">
        <v>5</v>
      </c>
      <c r="F79" s="95">
        <v>60</v>
      </c>
      <c r="G79" s="95">
        <v>41.999999999999993</v>
      </c>
      <c r="H79" s="28"/>
      <c r="I79" s="28"/>
      <c r="J79" s="29"/>
      <c r="K79" s="28"/>
      <c r="L79" s="28"/>
      <c r="M79" s="29"/>
      <c r="N79" s="28"/>
      <c r="O79" s="28"/>
      <c r="P79" s="29"/>
      <c r="Q79" s="28"/>
      <c r="R79" s="28"/>
      <c r="S79" s="29"/>
      <c r="T79" s="28"/>
      <c r="U79" s="28"/>
      <c r="V79" s="29"/>
      <c r="W79" s="28"/>
      <c r="X79" s="28"/>
      <c r="Y79" s="29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</row>
    <row r="80" spans="1:43" x14ac:dyDescent="0.5">
      <c r="B80" s="1" t="s">
        <v>74</v>
      </c>
      <c r="C80" s="30">
        <v>1</v>
      </c>
      <c r="D80" s="30" t="s">
        <v>96</v>
      </c>
      <c r="E80" s="95">
        <v>14.25</v>
      </c>
      <c r="F80" s="95">
        <v>171</v>
      </c>
      <c r="G80" s="95">
        <v>171</v>
      </c>
      <c r="H80" s="28">
        <v>27.833333333333332</v>
      </c>
      <c r="I80" s="28">
        <v>334</v>
      </c>
      <c r="J80" s="29">
        <v>334</v>
      </c>
      <c r="K80" s="28"/>
      <c r="L80" s="28"/>
      <c r="M80" s="29"/>
      <c r="N80" s="28"/>
      <c r="O80" s="28"/>
      <c r="P80" s="29"/>
      <c r="Q80" s="28"/>
      <c r="R80" s="28"/>
      <c r="S80" s="29"/>
      <c r="T80" s="28"/>
      <c r="U80" s="28"/>
      <c r="V80" s="29"/>
      <c r="W80" s="28"/>
      <c r="X80" s="28"/>
      <c r="Y80" s="29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</row>
    <row r="81" spans="2:43" x14ac:dyDescent="0.5">
      <c r="B81" s="1" t="s">
        <v>75</v>
      </c>
      <c r="C81" s="30">
        <v>1</v>
      </c>
      <c r="D81" s="30" t="s">
        <v>96</v>
      </c>
      <c r="E81" s="95">
        <v>31.583333333333336</v>
      </c>
      <c r="F81" s="95">
        <v>379</v>
      </c>
      <c r="G81" s="95">
        <v>379</v>
      </c>
      <c r="H81" s="28">
        <v>33.25</v>
      </c>
      <c r="I81" s="28">
        <v>399</v>
      </c>
      <c r="J81" s="29">
        <v>399</v>
      </c>
      <c r="K81" s="28"/>
      <c r="L81" s="28"/>
      <c r="M81" s="29"/>
      <c r="N81" s="28"/>
      <c r="O81" s="28"/>
      <c r="P81" s="29"/>
      <c r="Q81" s="28"/>
      <c r="R81" s="28"/>
      <c r="S81" s="29"/>
      <c r="T81" s="28"/>
      <c r="U81" s="28"/>
      <c r="V81" s="29"/>
      <c r="W81" s="28"/>
      <c r="X81" s="28"/>
      <c r="Y81" s="29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</row>
    <row r="82" spans="2:43" x14ac:dyDescent="0.5">
      <c r="B82" s="1" t="s">
        <v>80</v>
      </c>
      <c r="C82" s="30">
        <v>0.64</v>
      </c>
      <c r="D82" s="30" t="s">
        <v>119</v>
      </c>
      <c r="E82" s="95">
        <v>3</v>
      </c>
      <c r="F82" s="95">
        <v>42</v>
      </c>
      <c r="G82" s="95">
        <v>26.88</v>
      </c>
      <c r="H82" s="28"/>
      <c r="I82" s="28"/>
      <c r="J82" s="29"/>
      <c r="K82" s="28"/>
      <c r="L82" s="28"/>
      <c r="M82" s="29"/>
      <c r="N82" s="28"/>
      <c r="O82" s="28"/>
      <c r="P82" s="29"/>
      <c r="Q82" s="28"/>
      <c r="R82" s="28"/>
      <c r="S82" s="29"/>
      <c r="T82" s="28"/>
      <c r="U82" s="28"/>
      <c r="V82" s="29"/>
      <c r="W82" s="28"/>
      <c r="X82" s="28"/>
      <c r="Y82" s="29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</row>
    <row r="83" spans="2:43" x14ac:dyDescent="0.5">
      <c r="B83" s="1" t="s">
        <v>83</v>
      </c>
      <c r="C83" s="30">
        <v>1</v>
      </c>
      <c r="D83" s="30" t="s">
        <v>96</v>
      </c>
      <c r="E83" s="95">
        <v>880</v>
      </c>
      <c r="F83" s="95">
        <v>10560</v>
      </c>
      <c r="G83" s="95">
        <v>10560</v>
      </c>
      <c r="H83" s="28">
        <v>1130</v>
      </c>
      <c r="I83" s="28">
        <v>13560</v>
      </c>
      <c r="J83" s="29">
        <v>13560</v>
      </c>
      <c r="K83" s="28"/>
      <c r="L83" s="28"/>
      <c r="M83" s="29"/>
      <c r="N83" s="28"/>
      <c r="O83" s="28"/>
      <c r="P83" s="29"/>
      <c r="Q83" s="28"/>
      <c r="R83" s="28"/>
      <c r="S83" s="29"/>
      <c r="T83" s="28"/>
      <c r="U83" s="28"/>
      <c r="V83" s="29"/>
      <c r="W83" s="28"/>
      <c r="X83" s="28"/>
      <c r="Y83" s="29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</row>
    <row r="84" spans="2:43" x14ac:dyDescent="0.5">
      <c r="B84" s="1" t="s">
        <v>89</v>
      </c>
      <c r="C84" s="30">
        <v>0.64</v>
      </c>
      <c r="D84" s="30" t="s">
        <v>99</v>
      </c>
      <c r="E84" s="95">
        <v>110</v>
      </c>
      <c r="F84" s="95">
        <v>1540</v>
      </c>
      <c r="G84" s="95">
        <v>985.60000000000014</v>
      </c>
      <c r="H84" s="28">
        <v>135</v>
      </c>
      <c r="I84" s="28">
        <v>1890</v>
      </c>
      <c r="J84" s="29">
        <v>1209.5999999999999</v>
      </c>
      <c r="K84" s="28"/>
      <c r="L84" s="28"/>
      <c r="M84" s="29"/>
      <c r="N84" s="28"/>
      <c r="O84" s="28"/>
      <c r="P84" s="29"/>
      <c r="Q84" s="28"/>
      <c r="R84" s="28"/>
      <c r="S84" s="29"/>
      <c r="T84" s="28"/>
      <c r="U84" s="28"/>
      <c r="V84" s="29"/>
      <c r="W84" s="28"/>
      <c r="X84" s="28"/>
      <c r="Y84" s="29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</row>
    <row r="85" spans="2:43" x14ac:dyDescent="0.5">
      <c r="B85" s="1" t="s">
        <v>9</v>
      </c>
      <c r="C85" s="30"/>
      <c r="D85" s="30"/>
      <c r="E85" s="95"/>
      <c r="F85" s="95"/>
      <c r="G85" s="95"/>
      <c r="H85" s="28"/>
      <c r="I85" s="28"/>
      <c r="J85" s="29"/>
      <c r="K85" s="28"/>
      <c r="L85" s="28"/>
      <c r="M85" s="29"/>
      <c r="N85" s="28"/>
      <c r="O85" s="28"/>
      <c r="P85" s="29"/>
      <c r="Q85" s="28"/>
      <c r="R85" s="28"/>
      <c r="S85" s="29"/>
      <c r="T85" s="28"/>
      <c r="U85" s="28"/>
      <c r="V85" s="29"/>
      <c r="W85" s="28"/>
      <c r="X85" s="28"/>
      <c r="Y85" s="29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</row>
    <row r="86" spans="2:43" x14ac:dyDescent="0.5">
      <c r="B86" s="1" t="s">
        <v>88</v>
      </c>
      <c r="C86" s="30">
        <v>0.64</v>
      </c>
      <c r="D86" s="30" t="s">
        <v>99</v>
      </c>
      <c r="E86" s="95">
        <v>475</v>
      </c>
      <c r="F86" s="95">
        <v>6650</v>
      </c>
      <c r="G86" s="95">
        <v>4256</v>
      </c>
      <c r="H86" s="28">
        <v>483</v>
      </c>
      <c r="I86" s="28">
        <v>6762</v>
      </c>
      <c r="J86" s="29">
        <v>4327.68</v>
      </c>
      <c r="K86" s="28"/>
      <c r="L86" s="28"/>
      <c r="M86" s="29"/>
      <c r="N86" s="28"/>
      <c r="O86" s="28"/>
      <c r="P86" s="29"/>
      <c r="Q86" s="28"/>
      <c r="R86" s="28"/>
      <c r="S86" s="29"/>
      <c r="T86" s="28"/>
      <c r="U86" s="28"/>
      <c r="V86" s="29"/>
      <c r="W86" s="28"/>
      <c r="X86" s="28"/>
      <c r="Y86" s="29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</row>
    <row r="87" spans="2:43" x14ac:dyDescent="0.5">
      <c r="B87" s="30" t="s">
        <v>90</v>
      </c>
      <c r="C87" s="30">
        <v>1</v>
      </c>
      <c r="D87" s="30" t="s">
        <v>96</v>
      </c>
      <c r="E87" s="95">
        <v>17.916666666666664</v>
      </c>
      <c r="F87" s="95">
        <v>215</v>
      </c>
      <c r="G87" s="95">
        <v>215</v>
      </c>
      <c r="H87" s="28">
        <v>61.75</v>
      </c>
      <c r="I87" s="28">
        <v>741</v>
      </c>
      <c r="J87" s="29">
        <v>741</v>
      </c>
      <c r="K87" s="28"/>
      <c r="L87" s="28"/>
      <c r="M87" s="29"/>
      <c r="N87" s="28"/>
      <c r="O87" s="28"/>
      <c r="P87" s="29"/>
      <c r="Q87" s="28"/>
      <c r="R87" s="28"/>
      <c r="S87" s="29"/>
      <c r="T87" s="28"/>
      <c r="U87" s="28"/>
      <c r="V87" s="29"/>
      <c r="W87" s="28"/>
      <c r="X87" s="28"/>
      <c r="Y87" s="29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</row>
    <row r="88" spans="2:43" x14ac:dyDescent="0.5">
      <c r="B88" s="30" t="s">
        <v>91</v>
      </c>
      <c r="C88" s="1">
        <v>0.64</v>
      </c>
      <c r="D88" s="1" t="s">
        <v>99</v>
      </c>
      <c r="E88" s="95">
        <v>12.214285714285714</v>
      </c>
      <c r="F88" s="95">
        <v>171</v>
      </c>
      <c r="G88" s="95">
        <v>109.44000000000001</v>
      </c>
      <c r="H88" s="28">
        <v>12</v>
      </c>
      <c r="I88" s="28">
        <v>168</v>
      </c>
      <c r="J88" s="29">
        <v>107.52000000000001</v>
      </c>
      <c r="K88" s="28"/>
      <c r="L88" s="28"/>
      <c r="M88" s="29"/>
      <c r="N88" s="28"/>
      <c r="O88" s="28"/>
      <c r="P88" s="29"/>
      <c r="Q88" s="28"/>
      <c r="R88" s="28"/>
      <c r="S88" s="29"/>
      <c r="T88" s="28"/>
      <c r="U88" s="28"/>
      <c r="V88" s="29"/>
      <c r="W88" s="28"/>
      <c r="X88" s="28"/>
      <c r="Y88" s="29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</row>
    <row r="89" spans="2:43" x14ac:dyDescent="0.5">
      <c r="B89" s="30" t="s">
        <v>149</v>
      </c>
      <c r="C89" s="1">
        <v>0.64</v>
      </c>
      <c r="D89" s="1" t="s">
        <v>99</v>
      </c>
      <c r="E89" s="95">
        <v>1.4285714285714286</v>
      </c>
      <c r="F89" s="95">
        <v>20</v>
      </c>
      <c r="G89" s="95">
        <v>12.8</v>
      </c>
      <c r="H89" s="28">
        <v>0.42857142857142855</v>
      </c>
      <c r="I89" s="28">
        <v>6</v>
      </c>
      <c r="J89" s="29">
        <v>3.84</v>
      </c>
      <c r="K89" s="28"/>
      <c r="L89" s="28"/>
      <c r="M89" s="29"/>
      <c r="N89" s="28"/>
      <c r="O89" s="28"/>
      <c r="P89" s="29"/>
      <c r="Q89" s="28"/>
      <c r="R89" s="28"/>
      <c r="S89" s="29"/>
      <c r="T89" s="28"/>
      <c r="U89" s="28"/>
      <c r="V89" s="29"/>
      <c r="W89" s="28"/>
      <c r="X89" s="28"/>
      <c r="Y89" s="29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2:43" x14ac:dyDescent="0.5">
      <c r="B90" s="30" t="s">
        <v>92</v>
      </c>
      <c r="C90" s="30">
        <v>0.64</v>
      </c>
      <c r="D90" s="30" t="s">
        <v>98</v>
      </c>
      <c r="E90" s="95">
        <v>678</v>
      </c>
      <c r="F90" s="95">
        <v>16272</v>
      </c>
      <c r="G90" s="95">
        <v>10414.080000000002</v>
      </c>
      <c r="H90" s="28">
        <v>639</v>
      </c>
      <c r="I90" s="28">
        <v>15336</v>
      </c>
      <c r="J90" s="29">
        <v>9815.0400000000009</v>
      </c>
      <c r="K90" s="28"/>
      <c r="L90" s="28"/>
      <c r="M90" s="29"/>
      <c r="N90" s="28"/>
      <c r="O90" s="28"/>
      <c r="P90" s="29"/>
      <c r="Q90" s="28"/>
      <c r="R90" s="28"/>
      <c r="S90" s="29"/>
      <c r="T90" s="28"/>
      <c r="U90" s="28"/>
      <c r="V90" s="29"/>
      <c r="W90" s="28"/>
      <c r="X90" s="28"/>
      <c r="Y90" s="29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</row>
    <row r="91" spans="2:43" x14ac:dyDescent="0.5">
      <c r="B91" s="30" t="s">
        <v>92</v>
      </c>
      <c r="C91" s="30">
        <v>1</v>
      </c>
      <c r="D91" s="30" t="s">
        <v>135</v>
      </c>
      <c r="E91" s="113"/>
      <c r="F91" s="113"/>
      <c r="G91" s="113"/>
      <c r="H91" s="28">
        <v>51</v>
      </c>
      <c r="I91" s="28">
        <v>612</v>
      </c>
      <c r="J91" s="84">
        <v>612</v>
      </c>
      <c r="K91" s="28"/>
      <c r="L91" s="28"/>
      <c r="M91" s="84"/>
      <c r="N91" s="28"/>
      <c r="O91" s="28"/>
      <c r="P91" s="84"/>
      <c r="Q91" s="28"/>
      <c r="R91" s="28"/>
      <c r="S91" s="84"/>
      <c r="T91" s="57"/>
      <c r="U91" s="57"/>
      <c r="V91" s="29"/>
      <c r="W91" s="57"/>
      <c r="X91" s="57"/>
      <c r="Y91" s="29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</row>
    <row r="92" spans="2:43" x14ac:dyDescent="0.5">
      <c r="B92" s="30" t="s">
        <v>8</v>
      </c>
      <c r="C92" s="30">
        <v>0.7</v>
      </c>
      <c r="D92" s="1" t="s">
        <v>96</v>
      </c>
      <c r="E92" s="113"/>
      <c r="F92" s="113"/>
      <c r="G92" s="113"/>
      <c r="H92" s="29"/>
      <c r="I92" s="29"/>
      <c r="J92" s="84"/>
      <c r="K92" s="29"/>
      <c r="L92" s="29"/>
      <c r="M92" s="116"/>
      <c r="N92" s="29"/>
      <c r="O92" s="29"/>
      <c r="P92" s="84"/>
      <c r="Q92" s="29"/>
      <c r="R92" s="29"/>
      <c r="S92" s="84"/>
      <c r="T92" s="57"/>
      <c r="U92" s="57"/>
      <c r="V92" s="29"/>
      <c r="W92" s="57"/>
      <c r="X92" s="57"/>
      <c r="Y92" s="29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</row>
    <row r="93" spans="2:43" x14ac:dyDescent="0.5">
      <c r="B93" s="30" t="s">
        <v>7</v>
      </c>
      <c r="C93" s="30">
        <v>0.35</v>
      </c>
      <c r="D93" s="1" t="s">
        <v>98</v>
      </c>
      <c r="E93" s="113">
        <v>1.5416666666666665</v>
      </c>
      <c r="F93" s="113">
        <v>37</v>
      </c>
      <c r="G93" s="113">
        <v>12.95</v>
      </c>
      <c r="H93" s="57">
        <v>2.625</v>
      </c>
      <c r="I93" s="57">
        <v>63</v>
      </c>
      <c r="J93" s="84">
        <v>22.049999999999997</v>
      </c>
      <c r="K93" s="57"/>
      <c r="L93" s="57"/>
      <c r="M93" s="84"/>
      <c r="N93" s="57"/>
      <c r="O93" s="57"/>
      <c r="P93" s="84"/>
      <c r="Q93" s="57"/>
      <c r="R93" s="57"/>
      <c r="S93" s="84"/>
      <c r="T93" s="57"/>
      <c r="U93" s="57"/>
      <c r="V93" s="57"/>
      <c r="W93" s="57"/>
      <c r="X93" s="57"/>
      <c r="Y93" s="84"/>
      <c r="Z93" s="84"/>
      <c r="AA93" s="84"/>
      <c r="AB93" s="84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</row>
    <row r="94" spans="2:43" x14ac:dyDescent="0.5">
      <c r="B94" s="239" t="s">
        <v>10</v>
      </c>
      <c r="C94" s="240"/>
      <c r="D94" s="241"/>
      <c r="E94" s="22">
        <f t="shared" ref="E94:S94" si="47">SUM(E73:E93)</f>
        <v>3696.9345238095234</v>
      </c>
      <c r="F94" s="22">
        <f t="shared" si="47"/>
        <v>56203</v>
      </c>
      <c r="G94" s="22">
        <f t="shared" si="47"/>
        <v>41060.67</v>
      </c>
      <c r="H94" s="22">
        <f>SUM(H73:H93)</f>
        <v>4564.8869047619046</v>
      </c>
      <c r="I94" s="22">
        <f>SUM(I73:I93)</f>
        <v>66607</v>
      </c>
      <c r="J94" s="22">
        <f>SUM(J73:J93)</f>
        <v>50582.76999999999</v>
      </c>
      <c r="K94" s="22">
        <f t="shared" si="47"/>
        <v>0</v>
      </c>
      <c r="L94" s="22">
        <f t="shared" si="47"/>
        <v>0</v>
      </c>
      <c r="M94" s="22">
        <f t="shared" si="47"/>
        <v>0</v>
      </c>
      <c r="N94" s="22">
        <f t="shared" si="47"/>
        <v>0</v>
      </c>
      <c r="O94" s="22">
        <f t="shared" si="47"/>
        <v>0</v>
      </c>
      <c r="P94" s="22">
        <f t="shared" si="47"/>
        <v>0</v>
      </c>
      <c r="Q94" s="22">
        <f t="shared" si="47"/>
        <v>0</v>
      </c>
      <c r="R94" s="22">
        <f t="shared" si="47"/>
        <v>0</v>
      </c>
      <c r="S94" s="22">
        <f t="shared" si="47"/>
        <v>0</v>
      </c>
      <c r="T94" s="22">
        <f>SUM(T73:T90)</f>
        <v>0</v>
      </c>
      <c r="U94" s="22">
        <f>SUM(U73:U90)</f>
        <v>0</v>
      </c>
      <c r="V94" s="22">
        <f>SUM(V73:V92)</f>
        <v>0</v>
      </c>
      <c r="W94" s="22">
        <f>SUM(W73:W92)</f>
        <v>0</v>
      </c>
      <c r="X94" s="22">
        <f>SUM(X73:X92)</f>
        <v>0</v>
      </c>
      <c r="Y94" s="22">
        <f>SUM(Y73:Y92)</f>
        <v>0</v>
      </c>
      <c r="Z94" s="22">
        <f t="shared" ref="Z94:AN94" si="48">SUM(Z73:Z93)</f>
        <v>0</v>
      </c>
      <c r="AA94" s="22">
        <f t="shared" si="48"/>
        <v>0</v>
      </c>
      <c r="AB94" s="22">
        <f t="shared" si="48"/>
        <v>0</v>
      </c>
      <c r="AC94" s="22">
        <f t="shared" si="48"/>
        <v>0</v>
      </c>
      <c r="AD94" s="22">
        <f t="shared" si="48"/>
        <v>0</v>
      </c>
      <c r="AE94" s="22">
        <f t="shared" si="48"/>
        <v>0</v>
      </c>
      <c r="AF94" s="22">
        <f t="shared" si="48"/>
        <v>0</v>
      </c>
      <c r="AG94" s="22">
        <f t="shared" si="48"/>
        <v>0</v>
      </c>
      <c r="AH94" s="22">
        <f t="shared" si="48"/>
        <v>0</v>
      </c>
      <c r="AI94" s="22">
        <f t="shared" si="48"/>
        <v>0</v>
      </c>
      <c r="AJ94" s="22">
        <f t="shared" si="48"/>
        <v>0</v>
      </c>
      <c r="AK94" s="22">
        <f t="shared" si="48"/>
        <v>0</v>
      </c>
      <c r="AL94" s="22">
        <f t="shared" si="48"/>
        <v>0</v>
      </c>
      <c r="AM94" s="22">
        <f t="shared" si="48"/>
        <v>0</v>
      </c>
      <c r="AN94" s="22">
        <f t="shared" si="48"/>
        <v>0</v>
      </c>
      <c r="AO94" s="22">
        <f>SUM(AO73:AO90)</f>
        <v>0</v>
      </c>
      <c r="AP94" s="22">
        <f>SUM(AP73:AP90)</f>
        <v>0</v>
      </c>
      <c r="AQ94" s="22">
        <f>SUM(AQ73:AQ90)</f>
        <v>0</v>
      </c>
    </row>
    <row r="95" spans="2:43" x14ac:dyDescent="0.5">
      <c r="B95" s="30"/>
      <c r="C95" s="30"/>
      <c r="D95" s="30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2:43" x14ac:dyDescent="0.5">
      <c r="B96" s="30" t="s">
        <v>6</v>
      </c>
      <c r="C96" s="1">
        <v>0.7</v>
      </c>
      <c r="D96" s="1" t="s">
        <v>96</v>
      </c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</row>
    <row r="97" spans="2:43" x14ac:dyDescent="0.5">
      <c r="B97" s="30" t="s">
        <v>5</v>
      </c>
      <c r="C97" s="1">
        <v>0.35</v>
      </c>
      <c r="D97" s="1" t="s">
        <v>98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>
        <f t="shared" ref="V97:V102" si="49">U97*C97</f>
        <v>0</v>
      </c>
      <c r="W97" s="29"/>
      <c r="X97" s="29"/>
      <c r="Y97" s="29">
        <f t="shared" ref="Y97:Y98" si="50">X97*C97</f>
        <v>0</v>
      </c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</row>
    <row r="98" spans="2:43" x14ac:dyDescent="0.5">
      <c r="B98" s="30" t="s">
        <v>4</v>
      </c>
      <c r="C98" s="1">
        <v>0.17499999999999999</v>
      </c>
      <c r="D98" s="1" t="s">
        <v>100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>
        <f t="shared" si="49"/>
        <v>0</v>
      </c>
      <c r="W98" s="29"/>
      <c r="X98" s="29"/>
      <c r="Y98" s="29">
        <f t="shared" si="50"/>
        <v>0</v>
      </c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</row>
    <row r="99" spans="2:43" x14ac:dyDescent="0.5">
      <c r="B99" s="30" t="s">
        <v>3</v>
      </c>
      <c r="C99" s="1">
        <v>0.7</v>
      </c>
      <c r="D99" s="1" t="s">
        <v>96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>
        <f t="shared" si="49"/>
        <v>0</v>
      </c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</row>
    <row r="100" spans="2:43" x14ac:dyDescent="0.5">
      <c r="B100" s="30" t="s">
        <v>2</v>
      </c>
      <c r="C100" s="1">
        <v>0.35</v>
      </c>
      <c r="D100" s="1" t="s">
        <v>98</v>
      </c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>
        <f t="shared" si="49"/>
        <v>0</v>
      </c>
      <c r="W100" s="29"/>
      <c r="X100" s="29"/>
      <c r="Y100" s="29">
        <f t="shared" ref="Y100:Y101" si="51">X100*C100</f>
        <v>0</v>
      </c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</row>
    <row r="101" spans="2:43" x14ac:dyDescent="0.5">
      <c r="B101" s="30" t="s">
        <v>1</v>
      </c>
      <c r="C101" s="1">
        <v>0.17499999999999999</v>
      </c>
      <c r="D101" s="1" t="s">
        <v>100</v>
      </c>
      <c r="E101" s="29"/>
      <c r="F101" s="29"/>
      <c r="G101" s="29">
        <f t="shared" ref="G101:G102" si="52">F101*C101</f>
        <v>0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>
        <f t="shared" ref="S101:S102" si="53">R101*C101</f>
        <v>0</v>
      </c>
      <c r="T101" s="29"/>
      <c r="U101" s="29"/>
      <c r="V101" s="29">
        <f t="shared" si="49"/>
        <v>0</v>
      </c>
      <c r="W101" s="29"/>
      <c r="X101" s="29"/>
      <c r="Y101" s="29">
        <f t="shared" si="51"/>
        <v>0</v>
      </c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</row>
    <row r="102" spans="2:43" x14ac:dyDescent="0.5">
      <c r="B102" s="30" t="s">
        <v>0</v>
      </c>
      <c r="C102" s="1">
        <v>0.7</v>
      </c>
      <c r="D102" s="1" t="s">
        <v>96</v>
      </c>
      <c r="E102" s="29"/>
      <c r="F102" s="29"/>
      <c r="G102" s="29">
        <f t="shared" si="52"/>
        <v>0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>
        <f t="shared" si="53"/>
        <v>0</v>
      </c>
      <c r="T102" s="29"/>
      <c r="U102" s="29"/>
      <c r="V102" s="29">
        <f t="shared" si="49"/>
        <v>0</v>
      </c>
      <c r="W102" s="29"/>
      <c r="X102" s="29"/>
      <c r="Y102" s="29">
        <f>X102*C102</f>
        <v>0</v>
      </c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</row>
    <row r="103" spans="2:43" x14ac:dyDescent="0.5">
      <c r="B103" s="239" t="s">
        <v>10</v>
      </c>
      <c r="C103" s="240"/>
      <c r="D103" s="241"/>
      <c r="E103" s="22">
        <f t="shared" ref="E103:AQ103" si="54">SUM(E96:E102)</f>
        <v>0</v>
      </c>
      <c r="F103" s="22">
        <f t="shared" si="54"/>
        <v>0</v>
      </c>
      <c r="G103" s="22">
        <f t="shared" si="54"/>
        <v>0</v>
      </c>
      <c r="H103" s="22">
        <f t="shared" si="54"/>
        <v>0</v>
      </c>
      <c r="I103" s="22">
        <f t="shared" si="54"/>
        <v>0</v>
      </c>
      <c r="J103" s="22">
        <f t="shared" si="54"/>
        <v>0</v>
      </c>
      <c r="K103" s="22">
        <f t="shared" si="54"/>
        <v>0</v>
      </c>
      <c r="L103" s="22">
        <f t="shared" si="54"/>
        <v>0</v>
      </c>
      <c r="M103" s="22">
        <f t="shared" si="54"/>
        <v>0</v>
      </c>
      <c r="N103" s="22">
        <f t="shared" si="54"/>
        <v>0</v>
      </c>
      <c r="O103" s="22">
        <f t="shared" si="54"/>
        <v>0</v>
      </c>
      <c r="P103" s="22">
        <f t="shared" si="54"/>
        <v>0</v>
      </c>
      <c r="Q103" s="22">
        <f t="shared" si="54"/>
        <v>0</v>
      </c>
      <c r="R103" s="22">
        <f t="shared" si="54"/>
        <v>0</v>
      </c>
      <c r="S103" s="22">
        <f t="shared" si="54"/>
        <v>0</v>
      </c>
      <c r="T103" s="22">
        <f t="shared" si="54"/>
        <v>0</v>
      </c>
      <c r="U103" s="22">
        <f t="shared" si="54"/>
        <v>0</v>
      </c>
      <c r="V103" s="22">
        <f t="shared" si="54"/>
        <v>0</v>
      </c>
      <c r="W103" s="22">
        <f t="shared" si="54"/>
        <v>0</v>
      </c>
      <c r="X103" s="22">
        <f t="shared" si="54"/>
        <v>0</v>
      </c>
      <c r="Y103" s="22">
        <f t="shared" si="54"/>
        <v>0</v>
      </c>
      <c r="Z103" s="22">
        <f t="shared" si="54"/>
        <v>0</v>
      </c>
      <c r="AA103" s="22">
        <f t="shared" si="54"/>
        <v>0</v>
      </c>
      <c r="AB103" s="22">
        <f t="shared" si="54"/>
        <v>0</v>
      </c>
      <c r="AC103" s="22">
        <f t="shared" si="54"/>
        <v>0</v>
      </c>
      <c r="AD103" s="22">
        <f t="shared" si="54"/>
        <v>0</v>
      </c>
      <c r="AE103" s="22">
        <f t="shared" si="54"/>
        <v>0</v>
      </c>
      <c r="AF103" s="22">
        <f t="shared" si="54"/>
        <v>0</v>
      </c>
      <c r="AG103" s="22">
        <f t="shared" si="54"/>
        <v>0</v>
      </c>
      <c r="AH103" s="22">
        <f t="shared" si="54"/>
        <v>0</v>
      </c>
      <c r="AI103" s="22">
        <f t="shared" si="54"/>
        <v>0</v>
      </c>
      <c r="AJ103" s="22">
        <f t="shared" si="54"/>
        <v>0</v>
      </c>
      <c r="AK103" s="22">
        <f t="shared" si="54"/>
        <v>0</v>
      </c>
      <c r="AL103" s="22">
        <f t="shared" si="54"/>
        <v>0</v>
      </c>
      <c r="AM103" s="22">
        <f t="shared" si="54"/>
        <v>0</v>
      </c>
      <c r="AN103" s="22">
        <f t="shared" si="54"/>
        <v>0</v>
      </c>
      <c r="AO103" s="22">
        <f t="shared" si="54"/>
        <v>0</v>
      </c>
      <c r="AP103" s="22">
        <f t="shared" si="54"/>
        <v>0</v>
      </c>
      <c r="AQ103" s="22">
        <f t="shared" si="54"/>
        <v>0</v>
      </c>
    </row>
    <row r="104" spans="2:43" x14ac:dyDescent="0.5">
      <c r="B104" s="242" t="s">
        <v>49</v>
      </c>
      <c r="C104" s="243"/>
      <c r="D104" s="244"/>
      <c r="E104" s="59">
        <f t="shared" ref="E104:U104" si="55">E94+E103</f>
        <v>3696.9345238095234</v>
      </c>
      <c r="F104" s="38">
        <f t="shared" si="55"/>
        <v>56203</v>
      </c>
      <c r="G104" s="38">
        <f t="shared" si="55"/>
        <v>41060.67</v>
      </c>
      <c r="H104" s="38">
        <f t="shared" si="55"/>
        <v>4564.8869047619046</v>
      </c>
      <c r="I104" s="38">
        <f t="shared" si="55"/>
        <v>66607</v>
      </c>
      <c r="J104" s="38">
        <f t="shared" si="55"/>
        <v>50582.76999999999</v>
      </c>
      <c r="K104" s="38">
        <f t="shared" si="55"/>
        <v>0</v>
      </c>
      <c r="L104" s="38">
        <f t="shared" si="55"/>
        <v>0</v>
      </c>
      <c r="M104" s="89">
        <f t="shared" si="55"/>
        <v>0</v>
      </c>
      <c r="N104" s="38">
        <f t="shared" si="55"/>
        <v>0</v>
      </c>
      <c r="O104" s="38">
        <f t="shared" si="55"/>
        <v>0</v>
      </c>
      <c r="P104" s="37">
        <f t="shared" si="55"/>
        <v>0</v>
      </c>
      <c r="Q104" s="38">
        <f t="shared" si="55"/>
        <v>0</v>
      </c>
      <c r="R104" s="38">
        <f t="shared" si="55"/>
        <v>0</v>
      </c>
      <c r="S104" s="37">
        <f t="shared" si="55"/>
        <v>0</v>
      </c>
      <c r="T104" s="38">
        <f t="shared" si="55"/>
        <v>0</v>
      </c>
      <c r="U104" s="38">
        <f t="shared" si="55"/>
        <v>0</v>
      </c>
      <c r="V104" s="37">
        <f>V94+V103</f>
        <v>0</v>
      </c>
      <c r="W104" s="38">
        <f>W94+W103</f>
        <v>0</v>
      </c>
      <c r="X104" s="38">
        <f>X94+X103</f>
        <v>0</v>
      </c>
      <c r="Y104" s="37">
        <f>Y94+Y103</f>
        <v>0</v>
      </c>
      <c r="Z104" s="38">
        <f>Z94+Z103</f>
        <v>0</v>
      </c>
      <c r="AA104" s="38"/>
      <c r="AB104" s="37">
        <f>AB94+AB103</f>
        <v>0</v>
      </c>
      <c r="AC104" s="38">
        <f>AC94+AC103</f>
        <v>0</v>
      </c>
      <c r="AD104" s="38"/>
      <c r="AE104" s="37">
        <f>AE94+AE103</f>
        <v>0</v>
      </c>
      <c r="AF104" s="38">
        <f>AF94+AF103</f>
        <v>0</v>
      </c>
      <c r="AG104" s="38"/>
      <c r="AH104" s="37">
        <f>AH94+AH103</f>
        <v>0</v>
      </c>
      <c r="AI104" s="38">
        <f>AI94+AI103</f>
        <v>0</v>
      </c>
      <c r="AJ104" s="38"/>
      <c r="AK104" s="37">
        <f>AK94+AK103</f>
        <v>0</v>
      </c>
      <c r="AL104" s="38">
        <f>AL94+AL103</f>
        <v>0</v>
      </c>
      <c r="AM104" s="38"/>
      <c r="AN104" s="37">
        <f>AN94+AN103</f>
        <v>0</v>
      </c>
      <c r="AO104" s="38">
        <f>AO94+AO103</f>
        <v>0</v>
      </c>
      <c r="AP104" s="38"/>
      <c r="AQ104" s="37">
        <f>AQ94+AQ103</f>
        <v>0</v>
      </c>
    </row>
  </sheetData>
  <mergeCells count="59">
    <mergeCell ref="AO37:AQ37"/>
    <mergeCell ref="AC3:AE3"/>
    <mergeCell ref="AF3:AH3"/>
    <mergeCell ref="AI3:AK3"/>
    <mergeCell ref="AL3:AN3"/>
    <mergeCell ref="AO3:AQ3"/>
    <mergeCell ref="AL37:AN37"/>
    <mergeCell ref="T3:V3"/>
    <mergeCell ref="W3:Y3"/>
    <mergeCell ref="Z3:AB3"/>
    <mergeCell ref="E3:G3"/>
    <mergeCell ref="H3:J3"/>
    <mergeCell ref="K3:M3"/>
    <mergeCell ref="N3:P3"/>
    <mergeCell ref="Q3:S3"/>
    <mergeCell ref="T37:V37"/>
    <mergeCell ref="E37:G37"/>
    <mergeCell ref="H37:J37"/>
    <mergeCell ref="K37:M37"/>
    <mergeCell ref="N37:P37"/>
    <mergeCell ref="Q37:S37"/>
    <mergeCell ref="W37:Y37"/>
    <mergeCell ref="Z37:AB37"/>
    <mergeCell ref="AC37:AE37"/>
    <mergeCell ref="AF37:AH37"/>
    <mergeCell ref="AI37:AK37"/>
    <mergeCell ref="A37:A38"/>
    <mergeCell ref="B37:B38"/>
    <mergeCell ref="C37:C38"/>
    <mergeCell ref="D37:D38"/>
    <mergeCell ref="A3:A4"/>
    <mergeCell ref="B3:B4"/>
    <mergeCell ref="C3:C4"/>
    <mergeCell ref="D3:D4"/>
    <mergeCell ref="B28:D28"/>
    <mergeCell ref="B29:D29"/>
    <mergeCell ref="B19:D19"/>
    <mergeCell ref="D71:D72"/>
    <mergeCell ref="E71:G71"/>
    <mergeCell ref="H71:J71"/>
    <mergeCell ref="B66:D66"/>
    <mergeCell ref="B56:D56"/>
    <mergeCell ref="B65:D65"/>
    <mergeCell ref="AO71:AQ71"/>
    <mergeCell ref="B94:D94"/>
    <mergeCell ref="B103:D103"/>
    <mergeCell ref="B104:D104"/>
    <mergeCell ref="Z71:AB71"/>
    <mergeCell ref="AC71:AE71"/>
    <mergeCell ref="AF71:AH71"/>
    <mergeCell ref="AI71:AK71"/>
    <mergeCell ref="AL71:AN71"/>
    <mergeCell ref="K71:M71"/>
    <mergeCell ref="N71:P71"/>
    <mergeCell ref="Q71:S71"/>
    <mergeCell ref="T71:V71"/>
    <mergeCell ref="W71:Y71"/>
    <mergeCell ref="B71:B72"/>
    <mergeCell ref="C71:C72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DBC8-6FAD-4AB1-B013-A1D9769CF6E1}">
  <sheetPr>
    <tabColor rgb="FFFF0000"/>
  </sheetPr>
  <dimension ref="A1:AQ100"/>
  <sheetViews>
    <sheetView workbookViewId="0">
      <pane xSplit="3" ySplit="4" topLeftCell="D67" activePane="bottomRight" state="frozen"/>
      <selection activeCell="AG56" sqref="AG56"/>
      <selection pane="topRight" activeCell="AG56" sqref="AG56"/>
      <selection pane="bottomLeft" activeCell="AG56" sqref="AG56"/>
      <selection pane="bottomRight" activeCell="I88" sqref="I88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customWidth="1"/>
    <col min="7" max="7" width="8.5703125" style="42" customWidth="1"/>
    <col min="8" max="11" width="6.7109375" style="42" customWidth="1"/>
    <col min="12" max="12" width="7.28515625" style="42" customWidth="1"/>
    <col min="13" max="15" width="6.7109375" style="42" customWidth="1"/>
    <col min="16" max="16" width="7.85546875" style="42" customWidth="1"/>
    <col min="17" max="21" width="6.7109375" style="42" customWidth="1"/>
    <col min="22" max="22" width="7.140625" style="42" bestFit="1" customWidth="1"/>
    <col min="23" max="24" width="6.7109375" style="42" customWidth="1"/>
    <col min="25" max="25" width="7.140625" style="42" bestFit="1" customWidth="1"/>
    <col min="26" max="26" width="6.7109375" style="42" customWidth="1"/>
    <col min="27" max="27" width="9.28515625" style="42" bestFit="1" customWidth="1"/>
    <col min="28" max="41" width="6.7109375" style="42" customWidth="1"/>
    <col min="42" max="43" width="9.85546875" style="42" bestFit="1" customWidth="1"/>
    <col min="44" max="16384" width="9.7109375" style="42"/>
  </cols>
  <sheetData>
    <row r="1" spans="1:43" ht="24.75" x14ac:dyDescent="0.7">
      <c r="B1" s="67" t="s">
        <v>128</v>
      </c>
    </row>
    <row r="3" spans="1:43" ht="21" customHeight="1" x14ac:dyDescent="0.6">
      <c r="A3" s="252" t="s">
        <v>52</v>
      </c>
      <c r="B3" s="252" t="s">
        <v>51</v>
      </c>
      <c r="C3" s="254" t="s">
        <v>117</v>
      </c>
      <c r="D3" s="254" t="s">
        <v>95</v>
      </c>
      <c r="E3" s="249" t="s">
        <v>114</v>
      </c>
      <c r="F3" s="250"/>
      <c r="G3" s="251"/>
      <c r="H3" s="249" t="s">
        <v>58</v>
      </c>
      <c r="I3" s="250"/>
      <c r="J3" s="251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ht="21" x14ac:dyDescent="0.5">
      <c r="A4" s="253"/>
      <c r="B4" s="253"/>
      <c r="C4" s="255"/>
      <c r="D4" s="255"/>
      <c r="E4" s="66" t="s">
        <v>50</v>
      </c>
      <c r="F4" s="66" t="s">
        <v>56</v>
      </c>
      <c r="G4" s="66" t="s">
        <v>93</v>
      </c>
      <c r="H4" s="66" t="s">
        <v>50</v>
      </c>
      <c r="I4" s="66" t="s">
        <v>56</v>
      </c>
      <c r="J4" s="66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5">
      <c r="A5" s="28">
        <v>1</v>
      </c>
      <c r="B5" s="160" t="s">
        <v>67</v>
      </c>
      <c r="C5" s="34">
        <v>0.7</v>
      </c>
      <c r="D5" s="34" t="s">
        <v>96</v>
      </c>
      <c r="E5" s="29"/>
      <c r="F5" s="29"/>
      <c r="G5" s="29">
        <f>F5*C5</f>
        <v>0</v>
      </c>
      <c r="H5" s="29">
        <v>3</v>
      </c>
      <c r="I5" s="29">
        <v>36</v>
      </c>
      <c r="J5" s="29">
        <v>25.2</v>
      </c>
      <c r="K5" s="29"/>
      <c r="L5" s="29">
        <v>0</v>
      </c>
      <c r="M5" s="29">
        <f>C5*L5</f>
        <v>0</v>
      </c>
      <c r="N5" s="29"/>
      <c r="O5" s="29"/>
      <c r="P5" s="29">
        <f>C5*O5</f>
        <v>0</v>
      </c>
      <c r="Q5" s="29"/>
      <c r="R5" s="29"/>
      <c r="S5" s="29">
        <f>R5*C5</f>
        <v>0</v>
      </c>
      <c r="T5" s="29"/>
      <c r="U5" s="29"/>
      <c r="V5" s="29">
        <f>U5*C5</f>
        <v>0</v>
      </c>
      <c r="W5" s="29"/>
      <c r="X5" s="29"/>
      <c r="Y5" s="29">
        <f>X5*C5</f>
        <v>0</v>
      </c>
      <c r="Z5" s="29"/>
      <c r="AA5" s="29"/>
      <c r="AB5" s="29">
        <f>AA5*C5</f>
        <v>0</v>
      </c>
      <c r="AC5" s="29"/>
      <c r="AD5" s="29"/>
      <c r="AE5" s="29">
        <f>AD5*C5</f>
        <v>0</v>
      </c>
      <c r="AF5" s="29"/>
      <c r="AG5" s="29"/>
      <c r="AH5" s="29">
        <f>AG5*C5</f>
        <v>0</v>
      </c>
      <c r="AI5" s="29"/>
      <c r="AJ5" s="29"/>
      <c r="AK5" s="29">
        <f>AJ5*C5</f>
        <v>0</v>
      </c>
      <c r="AL5" s="29"/>
      <c r="AM5" s="29"/>
      <c r="AN5" s="29">
        <f>AM5*C5</f>
        <v>0</v>
      </c>
      <c r="AO5" s="29">
        <f>E5+H5+K5+N5+Q5+T5+W5+Z5+AC5+AF5+AI5+AL5</f>
        <v>3</v>
      </c>
      <c r="AP5" s="29">
        <f t="shared" ref="AP5:AQ5" si="0">F5+I5+L5+O5+R5+U5+X5+AA5+AD5+AG5+AJ5+AM5</f>
        <v>36</v>
      </c>
      <c r="AQ5" s="29">
        <f t="shared" si="0"/>
        <v>25.2</v>
      </c>
    </row>
    <row r="6" spans="1:43" x14ac:dyDescent="0.5">
      <c r="A6" s="28">
        <v>2</v>
      </c>
      <c r="B6" s="160" t="s">
        <v>69</v>
      </c>
      <c r="C6" s="30">
        <v>1</v>
      </c>
      <c r="D6" s="30" t="s">
        <v>96</v>
      </c>
      <c r="E6" s="29">
        <v>207</v>
      </c>
      <c r="F6" s="29">
        <v>2484</v>
      </c>
      <c r="G6" s="29">
        <f t="shared" ref="G6:G17" si="1">F6*C6</f>
        <v>2484</v>
      </c>
      <c r="H6" s="29">
        <v>200</v>
      </c>
      <c r="I6" s="29">
        <v>2400</v>
      </c>
      <c r="J6" s="29">
        <v>2400</v>
      </c>
      <c r="K6" s="29">
        <v>187</v>
      </c>
      <c r="L6" s="29">
        <v>2244</v>
      </c>
      <c r="M6" s="29">
        <f t="shared" ref="M6:M17" si="2">C6*L6</f>
        <v>2244</v>
      </c>
      <c r="N6" s="29">
        <v>203</v>
      </c>
      <c r="O6" s="29">
        <v>2436</v>
      </c>
      <c r="P6" s="29">
        <f t="shared" ref="P6:P17" si="3">C6*O6</f>
        <v>2436</v>
      </c>
      <c r="Q6" s="29">
        <v>160</v>
      </c>
      <c r="R6" s="29">
        <v>1920</v>
      </c>
      <c r="S6" s="29">
        <f t="shared" ref="S6:S17" si="4">R6*C6</f>
        <v>1920</v>
      </c>
      <c r="T6" s="29">
        <v>300</v>
      </c>
      <c r="U6" s="29">
        <v>3600</v>
      </c>
      <c r="V6" s="29">
        <f t="shared" ref="V6:V17" si="5">U6*C6</f>
        <v>3600</v>
      </c>
      <c r="W6" s="29">
        <v>360</v>
      </c>
      <c r="X6" s="29">
        <v>4320</v>
      </c>
      <c r="Y6" s="29">
        <f t="shared" ref="Y6:Y17" si="6">X6*C6</f>
        <v>4320</v>
      </c>
      <c r="Z6" s="29">
        <v>310</v>
      </c>
      <c r="AA6" s="29">
        <v>3720</v>
      </c>
      <c r="AB6" s="29">
        <f t="shared" ref="AB6:AB17" si="7">AA6*C6</f>
        <v>3720</v>
      </c>
      <c r="AC6" s="29">
        <v>305</v>
      </c>
      <c r="AD6" s="29">
        <v>3660</v>
      </c>
      <c r="AE6" s="29">
        <f t="shared" ref="AE6:AE17" si="8">AD6*C6</f>
        <v>3660</v>
      </c>
      <c r="AF6" s="29">
        <v>310</v>
      </c>
      <c r="AG6" s="29">
        <v>3720</v>
      </c>
      <c r="AH6" s="29">
        <f t="shared" ref="AH6:AH16" si="9">AG6*C6</f>
        <v>3720</v>
      </c>
      <c r="AI6" s="29">
        <v>220</v>
      </c>
      <c r="AJ6" s="29">
        <v>2640</v>
      </c>
      <c r="AK6" s="29">
        <f t="shared" ref="AK6:AK16" si="10">AJ6*C6</f>
        <v>2640</v>
      </c>
      <c r="AL6" s="29">
        <v>100</v>
      </c>
      <c r="AM6" s="29">
        <v>1200</v>
      </c>
      <c r="AN6" s="29">
        <f t="shared" ref="AN6:AN16" si="11">AM6*C6</f>
        <v>1200</v>
      </c>
      <c r="AO6" s="29">
        <f t="shared" ref="AO6:AO12" si="12">E6+H6+K6+N6+Q6+T6+W6+Z6+AC6+AF6+AI6+AL6</f>
        <v>2862</v>
      </c>
      <c r="AP6" s="29">
        <f t="shared" ref="AP6:AP12" si="13">F6+I6+L6+O6+R6+U6+X6+AA6+AD6+AG6+AJ6+AM6</f>
        <v>34344</v>
      </c>
      <c r="AQ6" s="29">
        <f t="shared" ref="AQ6:AQ12" si="14">G6+J6+M6+P6+S6+V6+Y6+AB6+AE6+AH6+AK6+AN6</f>
        <v>34344</v>
      </c>
    </row>
    <row r="7" spans="1:43" x14ac:dyDescent="0.5">
      <c r="A7" s="28">
        <v>3</v>
      </c>
      <c r="B7" s="160" t="s">
        <v>70</v>
      </c>
      <c r="C7" s="30">
        <v>0.6</v>
      </c>
      <c r="D7" s="30"/>
      <c r="E7" s="29"/>
      <c r="F7" s="29"/>
      <c r="G7" s="29">
        <f t="shared" si="1"/>
        <v>0</v>
      </c>
      <c r="H7" s="29"/>
      <c r="I7" s="29"/>
      <c r="J7" s="29">
        <v>0</v>
      </c>
      <c r="K7" s="29"/>
      <c r="L7" s="29"/>
      <c r="M7" s="29">
        <f t="shared" si="2"/>
        <v>0</v>
      </c>
      <c r="N7" s="29"/>
      <c r="O7" s="29"/>
      <c r="P7" s="29">
        <f t="shared" si="3"/>
        <v>0</v>
      </c>
      <c r="Q7" s="29">
        <v>5</v>
      </c>
      <c r="R7" s="29">
        <v>60</v>
      </c>
      <c r="S7" s="29">
        <f t="shared" si="4"/>
        <v>36</v>
      </c>
      <c r="T7" s="29"/>
      <c r="U7" s="29"/>
      <c r="V7" s="29">
        <f t="shared" si="5"/>
        <v>0</v>
      </c>
      <c r="W7" s="29"/>
      <c r="X7" s="29"/>
      <c r="Y7" s="29">
        <f t="shared" si="6"/>
        <v>0</v>
      </c>
      <c r="Z7" s="29"/>
      <c r="AA7" s="29"/>
      <c r="AB7" s="29">
        <f t="shared" si="7"/>
        <v>0</v>
      </c>
      <c r="AC7" s="29"/>
      <c r="AD7" s="29"/>
      <c r="AE7" s="29">
        <f t="shared" si="8"/>
        <v>0</v>
      </c>
      <c r="AF7" s="29"/>
      <c r="AG7" s="29"/>
      <c r="AH7" s="29">
        <f t="shared" si="9"/>
        <v>0</v>
      </c>
      <c r="AI7" s="29"/>
      <c r="AJ7" s="29"/>
      <c r="AK7" s="29">
        <f t="shared" si="10"/>
        <v>0</v>
      </c>
      <c r="AL7" s="29"/>
      <c r="AM7" s="29"/>
      <c r="AN7" s="29">
        <f t="shared" si="11"/>
        <v>0</v>
      </c>
      <c r="AO7" s="29">
        <f t="shared" ref="AO7" si="15">E7+H7+K7+N7+Q7+T7+W7+Z7+AC7+AF7+AI7+AL7</f>
        <v>5</v>
      </c>
      <c r="AP7" s="29">
        <f t="shared" ref="AP7" si="16">F7+I7+L7+O7+R7+U7+X7+AA7+AD7+AG7+AJ7+AM7</f>
        <v>60</v>
      </c>
      <c r="AQ7" s="29">
        <f t="shared" ref="AQ7" si="17">G7+J7+M7+P7+S7+V7+Y7+AB7+AE7+AH7+AK7+AN7</f>
        <v>36</v>
      </c>
    </row>
    <row r="8" spans="1:43" x14ac:dyDescent="0.5">
      <c r="A8" s="28">
        <v>4</v>
      </c>
      <c r="B8" s="1" t="s">
        <v>71</v>
      </c>
      <c r="C8" s="30">
        <v>0.35</v>
      </c>
      <c r="D8" s="30" t="s">
        <v>97</v>
      </c>
      <c r="E8" s="29">
        <v>7</v>
      </c>
      <c r="F8" s="29">
        <v>280</v>
      </c>
      <c r="G8" s="29">
        <f t="shared" si="1"/>
        <v>98</v>
      </c>
      <c r="H8" s="29"/>
      <c r="I8" s="29"/>
      <c r="J8" s="29">
        <v>0</v>
      </c>
      <c r="K8" s="29">
        <v>5</v>
      </c>
      <c r="L8" s="29">
        <v>200</v>
      </c>
      <c r="M8" s="29">
        <f t="shared" si="2"/>
        <v>70</v>
      </c>
      <c r="N8" s="29"/>
      <c r="O8" s="29"/>
      <c r="P8" s="29">
        <f t="shared" si="3"/>
        <v>0</v>
      </c>
      <c r="Q8" s="29"/>
      <c r="R8" s="29"/>
      <c r="S8" s="29">
        <f t="shared" si="4"/>
        <v>0</v>
      </c>
      <c r="T8" s="29">
        <v>25</v>
      </c>
      <c r="U8" s="29">
        <v>1000</v>
      </c>
      <c r="V8" s="29">
        <f t="shared" si="5"/>
        <v>350</v>
      </c>
      <c r="W8" s="29">
        <v>25</v>
      </c>
      <c r="X8" s="29">
        <v>1000</v>
      </c>
      <c r="Y8" s="29">
        <f t="shared" si="6"/>
        <v>350</v>
      </c>
      <c r="Z8" s="29">
        <v>5</v>
      </c>
      <c r="AA8" s="29">
        <v>200</v>
      </c>
      <c r="AB8" s="29">
        <f t="shared" si="7"/>
        <v>70</v>
      </c>
      <c r="AC8" s="29">
        <v>5</v>
      </c>
      <c r="AD8" s="29">
        <v>200</v>
      </c>
      <c r="AE8" s="29">
        <f t="shared" si="8"/>
        <v>70</v>
      </c>
      <c r="AF8" s="29">
        <v>10</v>
      </c>
      <c r="AG8" s="29">
        <v>400</v>
      </c>
      <c r="AH8" s="29">
        <f t="shared" si="9"/>
        <v>140</v>
      </c>
      <c r="AI8" s="29"/>
      <c r="AJ8" s="29"/>
      <c r="AK8" s="29">
        <f t="shared" si="10"/>
        <v>0</v>
      </c>
      <c r="AL8" s="29">
        <v>20</v>
      </c>
      <c r="AM8" s="29">
        <v>800</v>
      </c>
      <c r="AN8" s="29">
        <f t="shared" si="11"/>
        <v>280</v>
      </c>
      <c r="AO8" s="29">
        <f t="shared" si="12"/>
        <v>102</v>
      </c>
      <c r="AP8" s="29">
        <f t="shared" si="13"/>
        <v>4080</v>
      </c>
      <c r="AQ8" s="29">
        <f t="shared" si="14"/>
        <v>1428</v>
      </c>
    </row>
    <row r="9" spans="1:43" x14ac:dyDescent="0.5">
      <c r="A9" s="28">
        <v>5</v>
      </c>
      <c r="B9" s="1" t="s">
        <v>144</v>
      </c>
      <c r="C9" s="30">
        <v>0.64</v>
      </c>
      <c r="D9" s="30" t="s">
        <v>99</v>
      </c>
      <c r="E9" s="29">
        <v>5</v>
      </c>
      <c r="F9" s="29">
        <v>70</v>
      </c>
      <c r="G9" s="29">
        <f t="shared" si="1"/>
        <v>44.800000000000004</v>
      </c>
      <c r="H9" s="29">
        <v>24</v>
      </c>
      <c r="I9" s="29">
        <v>336</v>
      </c>
      <c r="J9" s="29">
        <v>215.04</v>
      </c>
      <c r="K9" s="29">
        <v>24</v>
      </c>
      <c r="L9" s="29">
        <v>336</v>
      </c>
      <c r="M9" s="29">
        <f t="shared" si="2"/>
        <v>215.04</v>
      </c>
      <c r="N9" s="29">
        <v>194</v>
      </c>
      <c r="O9" s="29">
        <v>2716</v>
      </c>
      <c r="P9" s="29">
        <f t="shared" si="3"/>
        <v>1738.24</v>
      </c>
      <c r="Q9" s="29">
        <v>133</v>
      </c>
      <c r="R9" s="29">
        <v>1862</v>
      </c>
      <c r="S9" s="29">
        <f t="shared" si="4"/>
        <v>1191.68</v>
      </c>
      <c r="T9" s="29">
        <v>50</v>
      </c>
      <c r="U9" s="29">
        <v>700</v>
      </c>
      <c r="V9" s="29">
        <f t="shared" si="5"/>
        <v>448</v>
      </c>
      <c r="W9" s="29">
        <v>80</v>
      </c>
      <c r="X9" s="29">
        <v>1120</v>
      </c>
      <c r="Y9" s="29">
        <f t="shared" si="6"/>
        <v>716.80000000000007</v>
      </c>
      <c r="Z9" s="29">
        <v>50</v>
      </c>
      <c r="AA9" s="29">
        <v>700</v>
      </c>
      <c r="AB9" s="29">
        <f t="shared" si="7"/>
        <v>448</v>
      </c>
      <c r="AC9" s="29">
        <v>20</v>
      </c>
      <c r="AD9" s="29">
        <v>280</v>
      </c>
      <c r="AE9" s="29">
        <f t="shared" si="8"/>
        <v>179.20000000000002</v>
      </c>
      <c r="AF9" s="29">
        <v>20</v>
      </c>
      <c r="AG9" s="29">
        <v>280</v>
      </c>
      <c r="AH9" s="29">
        <f t="shared" si="9"/>
        <v>179.20000000000002</v>
      </c>
      <c r="AI9" s="29">
        <v>20</v>
      </c>
      <c r="AJ9" s="29">
        <v>280</v>
      </c>
      <c r="AK9" s="29">
        <f t="shared" si="10"/>
        <v>179.20000000000002</v>
      </c>
      <c r="AL9" s="29">
        <v>30</v>
      </c>
      <c r="AM9" s="29">
        <v>420</v>
      </c>
      <c r="AN9" s="29">
        <f t="shared" si="11"/>
        <v>268.8</v>
      </c>
      <c r="AO9" s="29">
        <f t="shared" si="12"/>
        <v>650</v>
      </c>
      <c r="AP9" s="29">
        <f t="shared" si="13"/>
        <v>9100</v>
      </c>
      <c r="AQ9" s="29">
        <f t="shared" si="14"/>
        <v>5824</v>
      </c>
    </row>
    <row r="10" spans="1:43" x14ac:dyDescent="0.5">
      <c r="A10" s="28">
        <v>6</v>
      </c>
      <c r="B10" s="1" t="s">
        <v>80</v>
      </c>
      <c r="C10" s="30">
        <v>0.64</v>
      </c>
      <c r="D10" s="30" t="s">
        <v>99</v>
      </c>
      <c r="E10" s="29">
        <v>50</v>
      </c>
      <c r="F10" s="29">
        <v>700</v>
      </c>
      <c r="G10" s="29">
        <f t="shared" si="1"/>
        <v>448</v>
      </c>
      <c r="H10" s="29">
        <v>110</v>
      </c>
      <c r="I10" s="29">
        <v>1540</v>
      </c>
      <c r="J10" s="29">
        <v>985.6</v>
      </c>
      <c r="K10" s="29">
        <v>200</v>
      </c>
      <c r="L10" s="29">
        <v>2800</v>
      </c>
      <c r="M10" s="29">
        <f t="shared" si="2"/>
        <v>1792</v>
      </c>
      <c r="N10" s="29">
        <v>250</v>
      </c>
      <c r="O10" s="29">
        <v>3500</v>
      </c>
      <c r="P10" s="29">
        <f t="shared" si="3"/>
        <v>2240</v>
      </c>
      <c r="Q10" s="29">
        <v>100</v>
      </c>
      <c r="R10" s="29">
        <v>1400</v>
      </c>
      <c r="S10" s="29">
        <f t="shared" si="4"/>
        <v>896</v>
      </c>
      <c r="T10" s="29">
        <v>200</v>
      </c>
      <c r="U10" s="29">
        <v>2800</v>
      </c>
      <c r="V10" s="29">
        <f t="shared" si="5"/>
        <v>1792</v>
      </c>
      <c r="W10" s="29">
        <v>200</v>
      </c>
      <c r="X10" s="29">
        <v>2800</v>
      </c>
      <c r="Y10" s="29">
        <f t="shared" si="6"/>
        <v>1792</v>
      </c>
      <c r="Z10" s="29">
        <v>200</v>
      </c>
      <c r="AA10" s="29">
        <v>2800</v>
      </c>
      <c r="AB10" s="29">
        <f t="shared" si="7"/>
        <v>1792</v>
      </c>
      <c r="AC10" s="29">
        <v>200</v>
      </c>
      <c r="AD10" s="29">
        <v>2800</v>
      </c>
      <c r="AE10" s="29">
        <f t="shared" si="8"/>
        <v>1792</v>
      </c>
      <c r="AF10" s="29">
        <v>200</v>
      </c>
      <c r="AG10" s="29">
        <v>2800</v>
      </c>
      <c r="AH10" s="29">
        <f t="shared" si="9"/>
        <v>1792</v>
      </c>
      <c r="AI10" s="29">
        <v>200</v>
      </c>
      <c r="AJ10" s="29">
        <v>2800</v>
      </c>
      <c r="AK10" s="29">
        <f t="shared" si="10"/>
        <v>1792</v>
      </c>
      <c r="AL10" s="29">
        <v>200</v>
      </c>
      <c r="AM10" s="29">
        <v>2800</v>
      </c>
      <c r="AN10" s="29">
        <f t="shared" si="11"/>
        <v>1792</v>
      </c>
      <c r="AO10" s="29">
        <f t="shared" si="12"/>
        <v>2110</v>
      </c>
      <c r="AP10" s="29">
        <f t="shared" si="13"/>
        <v>29540</v>
      </c>
      <c r="AQ10" s="29">
        <f t="shared" si="14"/>
        <v>18905.599999999999</v>
      </c>
    </row>
    <row r="11" spans="1:43" x14ac:dyDescent="0.5">
      <c r="A11" s="28">
        <v>7</v>
      </c>
      <c r="B11" s="1" t="s">
        <v>83</v>
      </c>
      <c r="C11" s="30">
        <v>1</v>
      </c>
      <c r="D11" s="30" t="s">
        <v>96</v>
      </c>
      <c r="E11" s="29">
        <v>85</v>
      </c>
      <c r="F11" s="29">
        <v>1020</v>
      </c>
      <c r="G11" s="29">
        <f t="shared" si="1"/>
        <v>1020</v>
      </c>
      <c r="H11" s="29">
        <v>28</v>
      </c>
      <c r="I11" s="29">
        <v>336</v>
      </c>
      <c r="J11" s="29">
        <v>336</v>
      </c>
      <c r="K11" s="29">
        <v>10</v>
      </c>
      <c r="L11" s="29">
        <v>120</v>
      </c>
      <c r="M11" s="29">
        <f t="shared" si="2"/>
        <v>120</v>
      </c>
      <c r="N11" s="29">
        <v>30</v>
      </c>
      <c r="O11" s="29">
        <v>360</v>
      </c>
      <c r="P11" s="29">
        <f t="shared" si="3"/>
        <v>360</v>
      </c>
      <c r="Q11" s="29">
        <v>48</v>
      </c>
      <c r="R11" s="29">
        <v>576</v>
      </c>
      <c r="S11" s="29">
        <f t="shared" si="4"/>
        <v>576</v>
      </c>
      <c r="T11" s="29">
        <v>50</v>
      </c>
      <c r="U11" s="29">
        <v>600</v>
      </c>
      <c r="V11" s="29">
        <f t="shared" si="5"/>
        <v>600</v>
      </c>
      <c r="W11" s="29">
        <v>25</v>
      </c>
      <c r="X11" s="29">
        <v>300</v>
      </c>
      <c r="Y11" s="29">
        <f t="shared" si="6"/>
        <v>300</v>
      </c>
      <c r="Z11" s="29">
        <v>30</v>
      </c>
      <c r="AA11" s="29">
        <v>360</v>
      </c>
      <c r="AB11" s="29">
        <f t="shared" si="7"/>
        <v>360</v>
      </c>
      <c r="AC11" s="29">
        <v>200</v>
      </c>
      <c r="AD11" s="29">
        <v>2400</v>
      </c>
      <c r="AE11" s="29">
        <f t="shared" si="8"/>
        <v>2400</v>
      </c>
      <c r="AF11" s="29">
        <v>100</v>
      </c>
      <c r="AG11" s="29">
        <v>1200</v>
      </c>
      <c r="AH11" s="29">
        <f t="shared" si="9"/>
        <v>1200</v>
      </c>
      <c r="AI11" s="29"/>
      <c r="AJ11" s="29"/>
      <c r="AK11" s="29">
        <f t="shared" si="10"/>
        <v>0</v>
      </c>
      <c r="AL11" s="29">
        <v>100</v>
      </c>
      <c r="AM11" s="29">
        <v>1200</v>
      </c>
      <c r="AN11" s="29">
        <f t="shared" si="11"/>
        <v>1200</v>
      </c>
      <c r="AO11" s="29">
        <f t="shared" si="12"/>
        <v>706</v>
      </c>
      <c r="AP11" s="29">
        <f t="shared" si="13"/>
        <v>8472</v>
      </c>
      <c r="AQ11" s="29">
        <f t="shared" si="14"/>
        <v>8472</v>
      </c>
    </row>
    <row r="12" spans="1:43" x14ac:dyDescent="0.5">
      <c r="A12" s="28">
        <v>8</v>
      </c>
      <c r="B12" s="1" t="s">
        <v>88</v>
      </c>
      <c r="C12" s="30">
        <v>0.64</v>
      </c>
      <c r="D12" s="30" t="s">
        <v>99</v>
      </c>
      <c r="E12" s="29">
        <v>415</v>
      </c>
      <c r="F12" s="29">
        <v>5810</v>
      </c>
      <c r="G12" s="29">
        <f t="shared" si="1"/>
        <v>3718.4</v>
      </c>
      <c r="H12" s="29">
        <v>340</v>
      </c>
      <c r="I12" s="29">
        <v>4760</v>
      </c>
      <c r="J12" s="29">
        <v>3046.4</v>
      </c>
      <c r="K12" s="29">
        <v>630</v>
      </c>
      <c r="L12" s="29">
        <v>8820</v>
      </c>
      <c r="M12" s="29">
        <f t="shared" si="2"/>
        <v>5644.8</v>
      </c>
      <c r="N12" s="29">
        <v>500</v>
      </c>
      <c r="O12" s="29">
        <v>7000</v>
      </c>
      <c r="P12" s="29">
        <f t="shared" si="3"/>
        <v>4480</v>
      </c>
      <c r="Q12" s="29">
        <v>550</v>
      </c>
      <c r="R12" s="29">
        <v>7700</v>
      </c>
      <c r="S12" s="29">
        <f t="shared" si="4"/>
        <v>4928</v>
      </c>
      <c r="T12" s="29">
        <v>590</v>
      </c>
      <c r="U12" s="29">
        <v>8260</v>
      </c>
      <c r="V12" s="29">
        <f t="shared" si="5"/>
        <v>5286.4000000000005</v>
      </c>
      <c r="W12" s="29">
        <v>600</v>
      </c>
      <c r="X12" s="29">
        <v>8400</v>
      </c>
      <c r="Y12" s="29">
        <f t="shared" si="6"/>
        <v>5376</v>
      </c>
      <c r="Z12" s="29">
        <v>830</v>
      </c>
      <c r="AA12" s="29">
        <v>11620</v>
      </c>
      <c r="AB12" s="29">
        <f t="shared" si="7"/>
        <v>7436.8</v>
      </c>
      <c r="AC12" s="29"/>
      <c r="AD12" s="29"/>
      <c r="AE12" s="29">
        <f t="shared" si="8"/>
        <v>0</v>
      </c>
      <c r="AF12" s="29">
        <v>530</v>
      </c>
      <c r="AG12" s="29">
        <v>7420</v>
      </c>
      <c r="AH12" s="29">
        <f t="shared" si="9"/>
        <v>4748.8</v>
      </c>
      <c r="AI12" s="29">
        <v>450</v>
      </c>
      <c r="AJ12" s="29">
        <v>6300</v>
      </c>
      <c r="AK12" s="29">
        <f t="shared" si="10"/>
        <v>4032</v>
      </c>
      <c r="AL12" s="29">
        <v>400</v>
      </c>
      <c r="AM12" s="29">
        <v>5600</v>
      </c>
      <c r="AN12" s="29">
        <f t="shared" si="11"/>
        <v>3584</v>
      </c>
      <c r="AO12" s="29">
        <f t="shared" si="12"/>
        <v>5835</v>
      </c>
      <c r="AP12" s="29">
        <f t="shared" si="13"/>
        <v>81690</v>
      </c>
      <c r="AQ12" s="29">
        <f t="shared" si="14"/>
        <v>52281.600000000006</v>
      </c>
    </row>
    <row r="13" spans="1:43" x14ac:dyDescent="0.5">
      <c r="A13" s="28">
        <v>9</v>
      </c>
      <c r="B13" s="1" t="s">
        <v>88</v>
      </c>
      <c r="C13" s="30">
        <v>0.64</v>
      </c>
      <c r="D13" s="30" t="s">
        <v>131</v>
      </c>
      <c r="E13" s="84"/>
      <c r="F13" s="84"/>
      <c r="G13" s="29">
        <f t="shared" si="1"/>
        <v>0</v>
      </c>
      <c r="H13" s="84"/>
      <c r="I13" s="84"/>
      <c r="J13" s="29">
        <v>0</v>
      </c>
      <c r="K13" s="84"/>
      <c r="L13" s="84"/>
      <c r="M13" s="29">
        <f t="shared" si="2"/>
        <v>0</v>
      </c>
      <c r="N13" s="84"/>
      <c r="O13" s="84"/>
      <c r="P13" s="29">
        <f t="shared" si="3"/>
        <v>0</v>
      </c>
      <c r="Q13" s="84"/>
      <c r="R13" s="84"/>
      <c r="S13" s="29">
        <f t="shared" si="4"/>
        <v>0</v>
      </c>
      <c r="T13" s="84"/>
      <c r="U13" s="84"/>
      <c r="V13" s="29">
        <f t="shared" si="5"/>
        <v>0</v>
      </c>
      <c r="W13" s="84"/>
      <c r="X13" s="84"/>
      <c r="Y13" s="29">
        <f t="shared" si="6"/>
        <v>0</v>
      </c>
      <c r="Z13" s="84"/>
      <c r="AA13" s="84"/>
      <c r="AB13" s="29">
        <f t="shared" si="7"/>
        <v>0</v>
      </c>
      <c r="AC13" s="84">
        <v>600</v>
      </c>
      <c r="AD13" s="84">
        <v>8400</v>
      </c>
      <c r="AE13" s="29">
        <f t="shared" si="8"/>
        <v>5376</v>
      </c>
      <c r="AF13" s="84"/>
      <c r="AG13" s="84"/>
      <c r="AH13" s="29">
        <f t="shared" si="9"/>
        <v>0</v>
      </c>
      <c r="AI13" s="84">
        <v>100</v>
      </c>
      <c r="AJ13" s="84">
        <v>2400</v>
      </c>
      <c r="AK13" s="29">
        <f t="shared" si="10"/>
        <v>1536</v>
      </c>
      <c r="AL13" s="84">
        <v>50</v>
      </c>
      <c r="AM13" s="84">
        <v>1200</v>
      </c>
      <c r="AN13" s="29">
        <f t="shared" si="11"/>
        <v>768</v>
      </c>
      <c r="AO13" s="29"/>
      <c r="AP13" s="29">
        <f t="shared" ref="AP13" si="18">F13+I13+L13+O13+R13+U13+X13+AA13+AD13+AG13+AJ13+AM13</f>
        <v>12000</v>
      </c>
      <c r="AQ13" s="29">
        <f t="shared" ref="AQ13" si="19">G13+J13+M13+P13+S13+V13+Y13+AB13+AE13+AH13+AK13+AN13</f>
        <v>7680</v>
      </c>
    </row>
    <row r="14" spans="1:43" x14ac:dyDescent="0.5">
      <c r="A14" s="28">
        <v>10</v>
      </c>
      <c r="B14" s="1" t="s">
        <v>90</v>
      </c>
      <c r="C14" s="30">
        <v>1</v>
      </c>
      <c r="D14" s="30" t="s">
        <v>96</v>
      </c>
      <c r="E14" s="84"/>
      <c r="F14" s="84"/>
      <c r="G14" s="29">
        <f t="shared" si="1"/>
        <v>0</v>
      </c>
      <c r="H14" s="84"/>
      <c r="I14" s="84"/>
      <c r="J14" s="29">
        <v>0</v>
      </c>
      <c r="K14" s="84"/>
      <c r="L14" s="84"/>
      <c r="M14" s="29">
        <f t="shared" si="2"/>
        <v>0</v>
      </c>
      <c r="N14" s="84"/>
      <c r="O14" s="84"/>
      <c r="P14" s="29">
        <f t="shared" si="3"/>
        <v>0</v>
      </c>
      <c r="Q14" s="84"/>
      <c r="R14" s="84"/>
      <c r="S14" s="29">
        <f t="shared" si="4"/>
        <v>0</v>
      </c>
      <c r="T14" s="84">
        <v>10</v>
      </c>
      <c r="U14" s="84">
        <v>120</v>
      </c>
      <c r="V14" s="29">
        <f t="shared" si="5"/>
        <v>120</v>
      </c>
      <c r="W14" s="84"/>
      <c r="X14" s="84"/>
      <c r="Y14" s="29">
        <f t="shared" si="6"/>
        <v>0</v>
      </c>
      <c r="Z14" s="84"/>
      <c r="AA14" s="84"/>
      <c r="AB14" s="29">
        <f t="shared" si="7"/>
        <v>0</v>
      </c>
      <c r="AC14" s="84"/>
      <c r="AD14" s="84"/>
      <c r="AE14" s="29">
        <f t="shared" si="8"/>
        <v>0</v>
      </c>
      <c r="AF14" s="84"/>
      <c r="AG14" s="84"/>
      <c r="AH14" s="29">
        <f t="shared" si="9"/>
        <v>0</v>
      </c>
      <c r="AI14" s="84"/>
      <c r="AJ14" s="84"/>
      <c r="AK14" s="29">
        <f t="shared" si="10"/>
        <v>0</v>
      </c>
      <c r="AL14" s="84"/>
      <c r="AM14" s="84"/>
      <c r="AN14" s="29">
        <f t="shared" si="11"/>
        <v>0</v>
      </c>
      <c r="AO14" s="29">
        <f t="shared" ref="AO14:AO17" si="20">E14+H14+K14+N14+Q14+T14+W14+Z14+AC14+AF14+AI14+AL14</f>
        <v>10</v>
      </c>
      <c r="AP14" s="29">
        <f t="shared" ref="AP14:AP17" si="21">F14+I14+L14+O14+R14+U14+X14+AA14+AD14+AG14+AJ14+AM14</f>
        <v>120</v>
      </c>
      <c r="AQ14" s="29">
        <f t="shared" ref="AQ14:AQ17" si="22">G14+J14+M14+P14+S14+V14+Y14+AB14+AE14+AH14+AK14+AN14</f>
        <v>120</v>
      </c>
    </row>
    <row r="15" spans="1:43" x14ac:dyDescent="0.5">
      <c r="A15" s="28">
        <v>11</v>
      </c>
      <c r="B15" s="30" t="s">
        <v>91</v>
      </c>
      <c r="C15" s="1">
        <v>0.64</v>
      </c>
      <c r="D15" s="1" t="s">
        <v>99</v>
      </c>
      <c r="E15" s="84">
        <v>3</v>
      </c>
      <c r="F15" s="84">
        <v>42</v>
      </c>
      <c r="G15" s="29">
        <f t="shared" si="1"/>
        <v>26.88</v>
      </c>
      <c r="H15" s="84"/>
      <c r="I15" s="84"/>
      <c r="J15" s="29"/>
      <c r="K15" s="84">
        <v>5</v>
      </c>
      <c r="L15" s="84">
        <v>70</v>
      </c>
      <c r="M15" s="29">
        <f t="shared" si="2"/>
        <v>44.800000000000004</v>
      </c>
      <c r="N15" s="84"/>
      <c r="O15" s="84"/>
      <c r="P15" s="29">
        <f t="shared" si="3"/>
        <v>0</v>
      </c>
      <c r="Q15" s="84"/>
      <c r="R15" s="84"/>
      <c r="S15" s="29">
        <f t="shared" si="4"/>
        <v>0</v>
      </c>
      <c r="T15" s="84"/>
      <c r="U15" s="84"/>
      <c r="V15" s="29">
        <f t="shared" si="5"/>
        <v>0</v>
      </c>
      <c r="W15" s="84"/>
      <c r="X15" s="84"/>
      <c r="Y15" s="29">
        <f t="shared" si="6"/>
        <v>0</v>
      </c>
      <c r="Z15" s="84"/>
      <c r="AA15" s="84"/>
      <c r="AB15" s="29">
        <f t="shared" si="7"/>
        <v>0</v>
      </c>
      <c r="AC15" s="84"/>
      <c r="AD15" s="84"/>
      <c r="AE15" s="29">
        <f t="shared" si="8"/>
        <v>0</v>
      </c>
      <c r="AF15" s="84"/>
      <c r="AG15" s="84"/>
      <c r="AH15" s="29">
        <f t="shared" si="9"/>
        <v>0</v>
      </c>
      <c r="AI15" s="84"/>
      <c r="AJ15" s="84"/>
      <c r="AK15" s="29">
        <f t="shared" si="10"/>
        <v>0</v>
      </c>
      <c r="AL15" s="84"/>
      <c r="AM15" s="84"/>
      <c r="AN15" s="29">
        <f t="shared" si="11"/>
        <v>0</v>
      </c>
      <c r="AO15" s="29">
        <f t="shared" si="20"/>
        <v>8</v>
      </c>
      <c r="AP15" s="29">
        <f t="shared" si="21"/>
        <v>112</v>
      </c>
      <c r="AQ15" s="29">
        <f t="shared" si="22"/>
        <v>71.680000000000007</v>
      </c>
    </row>
    <row r="16" spans="1:43" x14ac:dyDescent="0.5">
      <c r="A16" s="28">
        <v>12</v>
      </c>
      <c r="B16" s="30" t="s">
        <v>92</v>
      </c>
      <c r="C16" s="30">
        <v>0.64</v>
      </c>
      <c r="D16" s="30" t="s">
        <v>99</v>
      </c>
      <c r="E16" s="84">
        <v>60</v>
      </c>
      <c r="F16" s="84">
        <v>1440</v>
      </c>
      <c r="G16" s="29">
        <f t="shared" si="1"/>
        <v>921.6</v>
      </c>
      <c r="H16" s="84">
        <v>100</v>
      </c>
      <c r="I16" s="84">
        <v>2400</v>
      </c>
      <c r="J16" s="29">
        <v>1536</v>
      </c>
      <c r="K16" s="84">
        <v>91</v>
      </c>
      <c r="L16" s="84">
        <v>2184</v>
      </c>
      <c r="M16" s="29">
        <f t="shared" si="2"/>
        <v>1397.76</v>
      </c>
      <c r="N16" s="84">
        <v>260</v>
      </c>
      <c r="O16" s="84">
        <v>6240</v>
      </c>
      <c r="P16" s="29">
        <f t="shared" si="3"/>
        <v>3993.6</v>
      </c>
      <c r="Q16" s="84">
        <v>40</v>
      </c>
      <c r="R16" s="84">
        <v>960</v>
      </c>
      <c r="S16" s="29">
        <f t="shared" si="4"/>
        <v>614.4</v>
      </c>
      <c r="T16" s="84">
        <v>110</v>
      </c>
      <c r="U16" s="84">
        <v>2640</v>
      </c>
      <c r="V16" s="29">
        <f t="shared" si="5"/>
        <v>1689.6000000000001</v>
      </c>
      <c r="W16" s="84">
        <v>60</v>
      </c>
      <c r="X16" s="84">
        <v>1440</v>
      </c>
      <c r="Y16" s="29">
        <f t="shared" si="6"/>
        <v>921.6</v>
      </c>
      <c r="Z16" s="84">
        <v>100</v>
      </c>
      <c r="AA16" s="84">
        <v>2400</v>
      </c>
      <c r="AB16" s="29">
        <f t="shared" si="7"/>
        <v>1536</v>
      </c>
      <c r="AC16" s="84"/>
      <c r="AD16" s="84"/>
      <c r="AE16" s="29">
        <f t="shared" si="8"/>
        <v>0</v>
      </c>
      <c r="AF16" s="84">
        <v>90</v>
      </c>
      <c r="AG16" s="84">
        <v>2160</v>
      </c>
      <c r="AH16" s="29">
        <f t="shared" si="9"/>
        <v>1382.4</v>
      </c>
      <c r="AI16" s="84">
        <v>15</v>
      </c>
      <c r="AJ16" s="84">
        <v>360</v>
      </c>
      <c r="AK16" s="29">
        <f t="shared" si="10"/>
        <v>230.4</v>
      </c>
      <c r="AL16" s="84">
        <v>30</v>
      </c>
      <c r="AM16" s="84">
        <v>720</v>
      </c>
      <c r="AN16" s="29">
        <f t="shared" si="11"/>
        <v>460.8</v>
      </c>
      <c r="AO16" s="29">
        <f t="shared" si="20"/>
        <v>956</v>
      </c>
      <c r="AP16" s="29">
        <f t="shared" si="21"/>
        <v>22944</v>
      </c>
      <c r="AQ16" s="29">
        <f t="shared" si="22"/>
        <v>14684.159999999998</v>
      </c>
    </row>
    <row r="17" spans="1:43" x14ac:dyDescent="0.5">
      <c r="A17" s="28">
        <v>13</v>
      </c>
      <c r="B17" s="30" t="s">
        <v>8</v>
      </c>
      <c r="C17" s="30">
        <v>0.7</v>
      </c>
      <c r="D17" s="30" t="s">
        <v>96</v>
      </c>
      <c r="E17" s="84"/>
      <c r="F17" s="84"/>
      <c r="G17" s="29">
        <f t="shared" si="1"/>
        <v>0</v>
      </c>
      <c r="H17" s="84"/>
      <c r="I17" s="84"/>
      <c r="J17" s="84"/>
      <c r="K17" s="84">
        <v>5</v>
      </c>
      <c r="L17" s="84">
        <v>60</v>
      </c>
      <c r="M17" s="29">
        <f t="shared" si="2"/>
        <v>42</v>
      </c>
      <c r="N17" s="84"/>
      <c r="O17" s="84"/>
      <c r="P17" s="29">
        <f t="shared" si="3"/>
        <v>0</v>
      </c>
      <c r="Q17" s="84"/>
      <c r="R17" s="84"/>
      <c r="S17" s="29">
        <f t="shared" si="4"/>
        <v>0</v>
      </c>
      <c r="T17" s="84"/>
      <c r="U17" s="84"/>
      <c r="V17" s="29">
        <f t="shared" si="5"/>
        <v>0</v>
      </c>
      <c r="W17" s="84"/>
      <c r="X17" s="84"/>
      <c r="Y17" s="29">
        <f t="shared" si="6"/>
        <v>0</v>
      </c>
      <c r="Z17" s="84"/>
      <c r="AA17" s="84"/>
      <c r="AB17" s="29">
        <f t="shared" si="7"/>
        <v>0</v>
      </c>
      <c r="AC17" s="84"/>
      <c r="AD17" s="84"/>
      <c r="AE17" s="29">
        <f t="shared" si="8"/>
        <v>0</v>
      </c>
      <c r="AF17" s="84"/>
      <c r="AG17" s="84"/>
      <c r="AH17" s="84"/>
      <c r="AI17" s="84"/>
      <c r="AJ17" s="84"/>
      <c r="AK17" s="84"/>
      <c r="AL17" s="84"/>
      <c r="AM17" s="84"/>
      <c r="AN17" s="84"/>
      <c r="AO17" s="29">
        <f t="shared" si="20"/>
        <v>5</v>
      </c>
      <c r="AP17" s="29">
        <f t="shared" si="21"/>
        <v>60</v>
      </c>
      <c r="AQ17" s="29">
        <f t="shared" si="22"/>
        <v>42</v>
      </c>
    </row>
    <row r="18" spans="1:43" x14ac:dyDescent="0.5">
      <c r="A18" s="24"/>
      <c r="B18" s="239" t="s">
        <v>10</v>
      </c>
      <c r="C18" s="240"/>
      <c r="D18" s="241"/>
      <c r="E18" s="22">
        <f t="shared" ref="E18:J18" si="23">SUM(E5:E16)</f>
        <v>832</v>
      </c>
      <c r="F18" s="22">
        <f t="shared" si="23"/>
        <v>11846</v>
      </c>
      <c r="G18" s="22">
        <f t="shared" si="23"/>
        <v>8761.68</v>
      </c>
      <c r="H18" s="22">
        <f t="shared" si="23"/>
        <v>805</v>
      </c>
      <c r="I18" s="22">
        <f t="shared" si="23"/>
        <v>11808</v>
      </c>
      <c r="J18" s="22">
        <f t="shared" si="23"/>
        <v>8544.24</v>
      </c>
      <c r="K18" s="22">
        <f>SUM(K5:K17)</f>
        <v>1157</v>
      </c>
      <c r="L18" s="22">
        <f t="shared" ref="L18:AN18" si="24">SUM(L5:L17)</f>
        <v>16834</v>
      </c>
      <c r="M18" s="22">
        <f t="shared" si="24"/>
        <v>11570.4</v>
      </c>
      <c r="N18" s="22">
        <f t="shared" si="24"/>
        <v>1437</v>
      </c>
      <c r="O18" s="22">
        <f t="shared" si="24"/>
        <v>22252</v>
      </c>
      <c r="P18" s="22">
        <f t="shared" si="24"/>
        <v>15247.84</v>
      </c>
      <c r="Q18" s="22">
        <f t="shared" si="24"/>
        <v>1036</v>
      </c>
      <c r="R18" s="22">
        <f t="shared" si="24"/>
        <v>14478</v>
      </c>
      <c r="S18" s="22">
        <f t="shared" si="24"/>
        <v>10162.08</v>
      </c>
      <c r="T18" s="22">
        <f t="shared" si="24"/>
        <v>1335</v>
      </c>
      <c r="U18" s="22">
        <f t="shared" si="24"/>
        <v>19720</v>
      </c>
      <c r="V18" s="22">
        <f t="shared" si="24"/>
        <v>13886.000000000002</v>
      </c>
      <c r="W18" s="22">
        <f t="shared" si="24"/>
        <v>1350</v>
      </c>
      <c r="X18" s="22">
        <f t="shared" si="24"/>
        <v>19380</v>
      </c>
      <c r="Y18" s="22">
        <f t="shared" si="24"/>
        <v>13776.4</v>
      </c>
      <c r="Z18" s="22">
        <f t="shared" si="24"/>
        <v>1525</v>
      </c>
      <c r="AA18" s="22">
        <f t="shared" si="24"/>
        <v>21800</v>
      </c>
      <c r="AB18" s="22">
        <f t="shared" si="24"/>
        <v>15362.8</v>
      </c>
      <c r="AC18" s="22">
        <f t="shared" si="24"/>
        <v>1330</v>
      </c>
      <c r="AD18" s="22">
        <f t="shared" si="24"/>
        <v>17740</v>
      </c>
      <c r="AE18" s="22">
        <f t="shared" si="24"/>
        <v>13477.2</v>
      </c>
      <c r="AF18" s="22">
        <f t="shared" si="24"/>
        <v>1260</v>
      </c>
      <c r="AG18" s="22">
        <f t="shared" si="24"/>
        <v>17980</v>
      </c>
      <c r="AH18" s="22">
        <f t="shared" si="24"/>
        <v>13162.4</v>
      </c>
      <c r="AI18" s="22">
        <f t="shared" si="24"/>
        <v>1005</v>
      </c>
      <c r="AJ18" s="22">
        <f t="shared" si="24"/>
        <v>14780</v>
      </c>
      <c r="AK18" s="22">
        <f t="shared" si="24"/>
        <v>10409.6</v>
      </c>
      <c r="AL18" s="22">
        <f t="shared" si="24"/>
        <v>930</v>
      </c>
      <c r="AM18" s="22">
        <f t="shared" si="24"/>
        <v>13940</v>
      </c>
      <c r="AN18" s="22">
        <f t="shared" si="24"/>
        <v>9553.5999999999985</v>
      </c>
      <c r="AO18" s="22">
        <f>SUM(AO5:AO17)</f>
        <v>13252</v>
      </c>
      <c r="AP18" s="22">
        <f>SUM(AP5:AP17)</f>
        <v>202558</v>
      </c>
      <c r="AQ18" s="22">
        <f>SUM(AQ5:AQ17)</f>
        <v>143914.23999999999</v>
      </c>
    </row>
    <row r="19" spans="1:43" ht="25.15" customHeight="1" x14ac:dyDescent="0.5">
      <c r="A19" s="39">
        <v>1</v>
      </c>
      <c r="B19" s="30" t="s">
        <v>6</v>
      </c>
      <c r="C19" s="1">
        <v>0.7</v>
      </c>
      <c r="D19" s="1" t="s">
        <v>96</v>
      </c>
      <c r="E19" s="29"/>
      <c r="F19" s="29"/>
      <c r="G19" s="29">
        <f>C19*F19</f>
        <v>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>
        <f>R19*C19</f>
        <v>0</v>
      </c>
      <c r="T19" s="29">
        <f>90/12</f>
        <v>7.5</v>
      </c>
      <c r="U19" s="29">
        <v>90</v>
      </c>
      <c r="V19" s="29">
        <f>U19*C19</f>
        <v>62.999999999999993</v>
      </c>
      <c r="W19" s="29"/>
      <c r="X19" s="29"/>
      <c r="Y19" s="29"/>
      <c r="Z19" s="29">
        <f>AA19/12</f>
        <v>20</v>
      </c>
      <c r="AA19" s="29">
        <v>240</v>
      </c>
      <c r="AB19" s="132">
        <f>AA19*C19</f>
        <v>168</v>
      </c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25.15" customHeight="1" x14ac:dyDescent="0.5">
      <c r="A20" s="39">
        <v>2</v>
      </c>
      <c r="B20" s="30" t="s">
        <v>5</v>
      </c>
      <c r="C20" s="1">
        <v>0.35</v>
      </c>
      <c r="D20" s="1" t="s">
        <v>98</v>
      </c>
      <c r="E20" s="29"/>
      <c r="F20" s="29"/>
      <c r="G20" s="29">
        <f t="shared" ref="G20:G27" si="25">C20*F20</f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>
        <f t="shared" ref="S20:S27" si="26">R20*C20</f>
        <v>0</v>
      </c>
      <c r="T20" s="29"/>
      <c r="U20" s="29"/>
      <c r="V20" s="29">
        <f t="shared" ref="V20:V27" si="27">U20*C20</f>
        <v>0</v>
      </c>
      <c r="W20" s="29"/>
      <c r="X20" s="29"/>
      <c r="Y20" s="29"/>
      <c r="Z20" s="29">
        <v>1</v>
      </c>
      <c r="AA20" s="29">
        <v>24</v>
      </c>
      <c r="AB20" s="132">
        <f t="shared" ref="AB20:AB27" si="28">AA20*C20</f>
        <v>8.3999999999999986</v>
      </c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ht="25.15" customHeight="1" x14ac:dyDescent="0.5">
      <c r="A21" s="39">
        <v>3</v>
      </c>
      <c r="B21" s="30" t="s">
        <v>4</v>
      </c>
      <c r="C21" s="1">
        <v>0.17499999999999999</v>
      </c>
      <c r="D21" s="1" t="s">
        <v>100</v>
      </c>
      <c r="E21" s="29"/>
      <c r="F21" s="29"/>
      <c r="G21" s="29">
        <f t="shared" si="25"/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>
        <f t="shared" si="26"/>
        <v>0</v>
      </c>
      <c r="T21" s="29"/>
      <c r="U21" s="29"/>
      <c r="V21" s="29">
        <f t="shared" si="27"/>
        <v>0</v>
      </c>
      <c r="W21" s="29"/>
      <c r="X21" s="29"/>
      <c r="Y21" s="29"/>
      <c r="Z21" s="29"/>
      <c r="AA21" s="29"/>
      <c r="AB21" s="29">
        <f t="shared" si="28"/>
        <v>0</v>
      </c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ht="25.15" customHeight="1" x14ac:dyDescent="0.5">
      <c r="A22" s="39">
        <v>4</v>
      </c>
      <c r="B22" s="30" t="s">
        <v>3</v>
      </c>
      <c r="C22" s="1">
        <v>0.7</v>
      </c>
      <c r="D22" s="1" t="s">
        <v>96</v>
      </c>
      <c r="E22" s="29">
        <f>252/12</f>
        <v>21</v>
      </c>
      <c r="F22" s="29">
        <v>252</v>
      </c>
      <c r="G22" s="29">
        <f t="shared" si="25"/>
        <v>176.39999999999998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>
        <f t="shared" si="26"/>
        <v>0</v>
      </c>
      <c r="T22" s="29">
        <f>U22/12</f>
        <v>7</v>
      </c>
      <c r="U22" s="29">
        <v>84</v>
      </c>
      <c r="V22" s="29">
        <f t="shared" si="27"/>
        <v>58.8</v>
      </c>
      <c r="W22" s="29">
        <v>2</v>
      </c>
      <c r="X22" s="29">
        <v>24</v>
      </c>
      <c r="Y22" s="29">
        <f>X22*C22</f>
        <v>16.799999999999997</v>
      </c>
      <c r="Z22" s="29"/>
      <c r="AA22" s="29"/>
      <c r="AB22" s="29">
        <f t="shared" si="28"/>
        <v>0</v>
      </c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ht="25.15" customHeight="1" x14ac:dyDescent="0.5">
      <c r="A23" s="39">
        <v>5</v>
      </c>
      <c r="B23" s="30" t="s">
        <v>2</v>
      </c>
      <c r="C23" s="1">
        <v>0.35</v>
      </c>
      <c r="D23" s="1" t="s">
        <v>98</v>
      </c>
      <c r="E23" s="29"/>
      <c r="F23" s="29"/>
      <c r="G23" s="29">
        <f t="shared" si="25"/>
        <v>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>
        <f t="shared" si="26"/>
        <v>0</v>
      </c>
      <c r="T23" s="29">
        <v>1</v>
      </c>
      <c r="U23" s="29">
        <v>24</v>
      </c>
      <c r="V23" s="29">
        <f t="shared" si="27"/>
        <v>8.3999999999999986</v>
      </c>
      <c r="W23" s="29"/>
      <c r="X23" s="29">
        <v>6</v>
      </c>
      <c r="Y23" s="29">
        <f t="shared" ref="Y23:Y27" si="29">X23*C23</f>
        <v>2.0999999999999996</v>
      </c>
      <c r="Z23" s="29"/>
      <c r="AA23" s="29"/>
      <c r="AB23" s="29">
        <f t="shared" si="28"/>
        <v>0</v>
      </c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ht="25.15" customHeight="1" x14ac:dyDescent="0.5">
      <c r="A24" s="39">
        <v>6</v>
      </c>
      <c r="B24" s="30" t="s">
        <v>1</v>
      </c>
      <c r="C24" s="1">
        <v>0.17499999999999999</v>
      </c>
      <c r="D24" s="1" t="s">
        <v>100</v>
      </c>
      <c r="E24" s="29"/>
      <c r="F24" s="29"/>
      <c r="G24" s="29">
        <f t="shared" si="25"/>
        <v>0</v>
      </c>
      <c r="H24" s="29"/>
      <c r="I24" s="29"/>
      <c r="J24" s="29"/>
      <c r="K24" s="29">
        <f>108/48</f>
        <v>2.25</v>
      </c>
      <c r="L24" s="29">
        <v>108</v>
      </c>
      <c r="M24" s="29">
        <f>L24*C24</f>
        <v>18.899999999999999</v>
      </c>
      <c r="N24" s="29"/>
      <c r="O24" s="29"/>
      <c r="P24" s="29"/>
      <c r="Q24" s="29"/>
      <c r="R24" s="29"/>
      <c r="S24" s="29">
        <f t="shared" si="26"/>
        <v>0</v>
      </c>
      <c r="T24" s="29"/>
      <c r="U24" s="29"/>
      <c r="V24" s="29">
        <f t="shared" si="27"/>
        <v>0</v>
      </c>
      <c r="W24" s="29"/>
      <c r="X24" s="29">
        <v>12</v>
      </c>
      <c r="Y24" s="29">
        <f t="shared" si="29"/>
        <v>2.0999999999999996</v>
      </c>
      <c r="Z24" s="29"/>
      <c r="AA24" s="29"/>
      <c r="AB24" s="29">
        <f t="shared" si="28"/>
        <v>0</v>
      </c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ht="25.15" customHeight="1" x14ac:dyDescent="0.5">
      <c r="A25" s="39">
        <v>7</v>
      </c>
      <c r="B25" s="30" t="s">
        <v>0</v>
      </c>
      <c r="C25" s="1">
        <v>0.7</v>
      </c>
      <c r="D25" s="1" t="s">
        <v>96</v>
      </c>
      <c r="E25" s="29"/>
      <c r="F25" s="29"/>
      <c r="G25" s="29">
        <f t="shared" si="25"/>
        <v>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>
        <f t="shared" si="26"/>
        <v>0</v>
      </c>
      <c r="T25" s="29"/>
      <c r="U25" s="29"/>
      <c r="V25" s="29">
        <f t="shared" si="27"/>
        <v>0</v>
      </c>
      <c r="W25" s="29"/>
      <c r="X25" s="29"/>
      <c r="Y25" s="29">
        <f t="shared" si="29"/>
        <v>0</v>
      </c>
      <c r="Z25" s="29"/>
      <c r="AA25" s="29"/>
      <c r="AB25" s="29">
        <f t="shared" si="28"/>
        <v>0</v>
      </c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ht="25.15" customHeight="1" x14ac:dyDescent="0.5">
      <c r="A26" s="39">
        <v>8</v>
      </c>
      <c r="B26" s="30" t="s">
        <v>8</v>
      </c>
      <c r="C26" s="1">
        <v>0.7</v>
      </c>
      <c r="D26" s="1" t="s">
        <v>96</v>
      </c>
      <c r="E26" s="29"/>
      <c r="F26" s="29"/>
      <c r="G26" s="29">
        <f t="shared" si="25"/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>
        <f t="shared" si="26"/>
        <v>0</v>
      </c>
      <c r="T26" s="29"/>
      <c r="U26" s="29"/>
      <c r="V26" s="29">
        <f t="shared" si="27"/>
        <v>0</v>
      </c>
      <c r="W26" s="29"/>
      <c r="X26" s="29"/>
      <c r="Y26" s="29">
        <f t="shared" si="29"/>
        <v>0</v>
      </c>
      <c r="Z26" s="29"/>
      <c r="AA26" s="29"/>
      <c r="AB26" s="29">
        <f t="shared" si="28"/>
        <v>0</v>
      </c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ht="25.15" customHeight="1" x14ac:dyDescent="0.5">
      <c r="A27" s="39">
        <v>9</v>
      </c>
      <c r="B27" s="30" t="s">
        <v>7</v>
      </c>
      <c r="C27" s="1">
        <v>0.35</v>
      </c>
      <c r="D27" s="1" t="s">
        <v>98</v>
      </c>
      <c r="E27" s="29"/>
      <c r="F27" s="29"/>
      <c r="G27" s="29">
        <f t="shared" si="25"/>
        <v>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>
        <f t="shared" si="26"/>
        <v>0</v>
      </c>
      <c r="T27" s="29"/>
      <c r="U27" s="29"/>
      <c r="V27" s="29">
        <f t="shared" si="27"/>
        <v>0</v>
      </c>
      <c r="W27" s="29"/>
      <c r="X27" s="29"/>
      <c r="Y27" s="29">
        <f t="shared" si="29"/>
        <v>0</v>
      </c>
      <c r="Z27" s="29"/>
      <c r="AA27" s="29"/>
      <c r="AB27" s="29">
        <f t="shared" si="28"/>
        <v>0</v>
      </c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ht="25.15" customHeight="1" x14ac:dyDescent="0.5">
      <c r="A28" s="46"/>
      <c r="B28" s="239" t="s">
        <v>10</v>
      </c>
      <c r="C28" s="240"/>
      <c r="D28" s="241"/>
      <c r="E28" s="22">
        <f t="shared" ref="E28:F28" si="30">SUM(E19:E27)</f>
        <v>21</v>
      </c>
      <c r="F28" s="22">
        <f t="shared" si="30"/>
        <v>252</v>
      </c>
      <c r="G28" s="22">
        <f>SUM(G19:G27)</f>
        <v>176.39999999999998</v>
      </c>
      <c r="H28" s="22">
        <f t="shared" ref="H28:AQ28" si="31">SUM(H19:H27)</f>
        <v>0</v>
      </c>
      <c r="I28" s="22">
        <f t="shared" si="31"/>
        <v>0</v>
      </c>
      <c r="J28" s="22">
        <f t="shared" si="31"/>
        <v>0</v>
      </c>
      <c r="K28" s="22">
        <f t="shared" si="31"/>
        <v>2.25</v>
      </c>
      <c r="L28" s="22">
        <f t="shared" si="31"/>
        <v>108</v>
      </c>
      <c r="M28" s="22">
        <f t="shared" si="31"/>
        <v>18.899999999999999</v>
      </c>
      <c r="N28" s="22">
        <f t="shared" si="31"/>
        <v>0</v>
      </c>
      <c r="O28" s="22">
        <f t="shared" si="31"/>
        <v>0</v>
      </c>
      <c r="P28" s="22">
        <f t="shared" si="31"/>
        <v>0</v>
      </c>
      <c r="Q28" s="22">
        <f t="shared" si="31"/>
        <v>0</v>
      </c>
      <c r="R28" s="22">
        <f t="shared" si="31"/>
        <v>0</v>
      </c>
      <c r="S28" s="22">
        <f t="shared" si="31"/>
        <v>0</v>
      </c>
      <c r="T28" s="22">
        <f t="shared" si="31"/>
        <v>15.5</v>
      </c>
      <c r="U28" s="22">
        <f t="shared" si="31"/>
        <v>198</v>
      </c>
      <c r="V28" s="22">
        <f t="shared" si="31"/>
        <v>130.19999999999999</v>
      </c>
      <c r="W28" s="22">
        <f t="shared" si="31"/>
        <v>2</v>
      </c>
      <c r="X28" s="22">
        <f t="shared" si="31"/>
        <v>42</v>
      </c>
      <c r="Y28" s="22">
        <f t="shared" si="31"/>
        <v>21</v>
      </c>
      <c r="Z28" s="22">
        <f t="shared" si="31"/>
        <v>21</v>
      </c>
      <c r="AA28" s="22">
        <f t="shared" si="31"/>
        <v>264</v>
      </c>
      <c r="AB28" s="22">
        <f t="shared" si="31"/>
        <v>176.4</v>
      </c>
      <c r="AC28" s="22">
        <f t="shared" si="31"/>
        <v>0</v>
      </c>
      <c r="AD28" s="22">
        <f t="shared" si="31"/>
        <v>0</v>
      </c>
      <c r="AE28" s="22">
        <f t="shared" si="31"/>
        <v>0</v>
      </c>
      <c r="AF28" s="22">
        <f t="shared" si="31"/>
        <v>0</v>
      </c>
      <c r="AG28" s="22">
        <f t="shared" si="31"/>
        <v>0</v>
      </c>
      <c r="AH28" s="22">
        <f t="shared" si="31"/>
        <v>0</v>
      </c>
      <c r="AI28" s="22">
        <f t="shared" si="31"/>
        <v>0</v>
      </c>
      <c r="AJ28" s="22">
        <f t="shared" si="31"/>
        <v>0</v>
      </c>
      <c r="AK28" s="22">
        <f t="shared" si="31"/>
        <v>0</v>
      </c>
      <c r="AL28" s="22">
        <f t="shared" si="31"/>
        <v>0</v>
      </c>
      <c r="AM28" s="22">
        <f t="shared" si="31"/>
        <v>0</v>
      </c>
      <c r="AN28" s="22">
        <f t="shared" si="31"/>
        <v>0</v>
      </c>
      <c r="AO28" s="22">
        <f t="shared" si="31"/>
        <v>0</v>
      </c>
      <c r="AP28" s="22">
        <f t="shared" si="31"/>
        <v>0</v>
      </c>
      <c r="AQ28" s="22">
        <f t="shared" si="31"/>
        <v>0</v>
      </c>
    </row>
    <row r="29" spans="1:43" s="44" customFormat="1" ht="25.15" customHeight="1" x14ac:dyDescent="0.5">
      <c r="A29" s="45"/>
      <c r="B29" s="242" t="s">
        <v>49</v>
      </c>
      <c r="C29" s="243"/>
      <c r="D29" s="244"/>
      <c r="E29" s="38">
        <f t="shared" ref="E29:F29" si="32">E17+E28</f>
        <v>21</v>
      </c>
      <c r="F29" s="38">
        <f t="shared" si="32"/>
        <v>252</v>
      </c>
      <c r="G29" s="38">
        <f>G17+G28</f>
        <v>176.39999999999998</v>
      </c>
      <c r="H29" s="38">
        <f t="shared" ref="H29" si="33">H17+H28</f>
        <v>0</v>
      </c>
      <c r="I29" s="38"/>
      <c r="J29" s="37">
        <f t="shared" ref="J29:K29" si="34">J17+J28</f>
        <v>0</v>
      </c>
      <c r="K29" s="38">
        <f t="shared" si="34"/>
        <v>7.25</v>
      </c>
      <c r="L29" s="38"/>
      <c r="M29" s="37">
        <f t="shared" ref="M29:N29" si="35">M17+M28</f>
        <v>60.9</v>
      </c>
      <c r="N29" s="38">
        <f t="shared" si="35"/>
        <v>0</v>
      </c>
      <c r="O29" s="38"/>
      <c r="P29" s="37">
        <f t="shared" ref="P29:Q29" si="36">P17+P28</f>
        <v>0</v>
      </c>
      <c r="Q29" s="38">
        <f t="shared" si="36"/>
        <v>0</v>
      </c>
      <c r="R29" s="38"/>
      <c r="S29" s="37">
        <f t="shared" ref="S29:T29" si="37">S17+S28</f>
        <v>0</v>
      </c>
      <c r="T29" s="38">
        <f t="shared" si="37"/>
        <v>15.5</v>
      </c>
      <c r="U29" s="38"/>
      <c r="V29" s="37">
        <f t="shared" ref="V29:W29" si="38">V17+V28</f>
        <v>130.19999999999999</v>
      </c>
      <c r="W29" s="38">
        <f t="shared" si="38"/>
        <v>2</v>
      </c>
      <c r="X29" s="38"/>
      <c r="Y29" s="37">
        <f t="shared" ref="Y29:Z29" si="39">Y17+Y28</f>
        <v>21</v>
      </c>
      <c r="Z29" s="38">
        <f t="shared" si="39"/>
        <v>21</v>
      </c>
      <c r="AA29" s="38"/>
      <c r="AB29" s="37">
        <f t="shared" ref="AB29:AC29" si="40">AB17+AB28</f>
        <v>176.4</v>
      </c>
      <c r="AC29" s="38">
        <f t="shared" si="40"/>
        <v>0</v>
      </c>
      <c r="AD29" s="38"/>
      <c r="AE29" s="37">
        <f t="shared" ref="AE29:AF29" si="41">AE17+AE28</f>
        <v>0</v>
      </c>
      <c r="AF29" s="38">
        <f t="shared" si="41"/>
        <v>0</v>
      </c>
      <c r="AG29" s="38"/>
      <c r="AH29" s="37">
        <f t="shared" ref="AH29:AI29" si="42">AH17+AH28</f>
        <v>0</v>
      </c>
      <c r="AI29" s="38">
        <f t="shared" si="42"/>
        <v>0</v>
      </c>
      <c r="AJ29" s="38"/>
      <c r="AK29" s="37">
        <f t="shared" ref="AK29:AL29" si="43">AK17+AK28</f>
        <v>0</v>
      </c>
      <c r="AL29" s="38">
        <f t="shared" si="43"/>
        <v>0</v>
      </c>
      <c r="AM29" s="38"/>
      <c r="AN29" s="37">
        <f t="shared" ref="AN29:AO29" si="44">AN17+AN28</f>
        <v>0</v>
      </c>
      <c r="AO29" s="38">
        <f t="shared" si="44"/>
        <v>5</v>
      </c>
      <c r="AP29" s="38"/>
      <c r="AQ29" s="37">
        <f t="shared" ref="AQ29" si="45">AQ17+AQ28</f>
        <v>42</v>
      </c>
    </row>
    <row r="35" spans="1:43" ht="25.15" customHeight="1" x14ac:dyDescent="0.7">
      <c r="B35" s="67" t="s">
        <v>102</v>
      </c>
    </row>
    <row r="36" spans="1:43" ht="15" customHeight="1" x14ac:dyDescent="0.5"/>
    <row r="37" spans="1:43" ht="42.75" customHeight="1" x14ac:dyDescent="0.6">
      <c r="A37" s="252" t="s">
        <v>52</v>
      </c>
      <c r="B37" s="252" t="s">
        <v>51</v>
      </c>
      <c r="C37" s="254" t="s">
        <v>117</v>
      </c>
      <c r="D37" s="254" t="s">
        <v>95</v>
      </c>
      <c r="E37" s="249" t="s">
        <v>114</v>
      </c>
      <c r="F37" s="250"/>
      <c r="G37" s="251"/>
      <c r="H37" s="249" t="s">
        <v>58</v>
      </c>
      <c r="I37" s="250"/>
      <c r="J37" s="251"/>
      <c r="K37" s="236" t="s">
        <v>59</v>
      </c>
      <c r="L37" s="237"/>
      <c r="M37" s="238"/>
      <c r="N37" s="236" t="s">
        <v>60</v>
      </c>
      <c r="O37" s="237"/>
      <c r="P37" s="238"/>
      <c r="Q37" s="236" t="s">
        <v>61</v>
      </c>
      <c r="R37" s="237"/>
      <c r="S37" s="238"/>
      <c r="T37" s="236" t="s">
        <v>62</v>
      </c>
      <c r="U37" s="237"/>
      <c r="V37" s="238"/>
      <c r="W37" s="236" t="s">
        <v>63</v>
      </c>
      <c r="X37" s="237"/>
      <c r="Y37" s="238"/>
      <c r="Z37" s="236" t="s">
        <v>64</v>
      </c>
      <c r="AA37" s="237"/>
      <c r="AB37" s="238"/>
      <c r="AC37" s="236" t="s">
        <v>65</v>
      </c>
      <c r="AD37" s="237"/>
      <c r="AE37" s="238"/>
      <c r="AF37" s="236" t="s">
        <v>18</v>
      </c>
      <c r="AG37" s="237"/>
      <c r="AH37" s="238"/>
      <c r="AI37" s="236" t="s">
        <v>17</v>
      </c>
      <c r="AJ37" s="237"/>
      <c r="AK37" s="238"/>
      <c r="AL37" s="236" t="s">
        <v>16</v>
      </c>
      <c r="AM37" s="237"/>
      <c r="AN37" s="238"/>
      <c r="AO37" s="236" t="s">
        <v>129</v>
      </c>
      <c r="AP37" s="237"/>
      <c r="AQ37" s="238"/>
    </row>
    <row r="38" spans="1:43" ht="25.15" customHeight="1" x14ac:dyDescent="0.5">
      <c r="A38" s="253"/>
      <c r="B38" s="253"/>
      <c r="C38" s="255"/>
      <c r="D38" s="255"/>
      <c r="E38" s="66" t="s">
        <v>50</v>
      </c>
      <c r="F38" s="66" t="s">
        <v>56</v>
      </c>
      <c r="G38" s="66" t="s">
        <v>93</v>
      </c>
      <c r="H38" s="66" t="s">
        <v>50</v>
      </c>
      <c r="I38" s="66" t="s">
        <v>56</v>
      </c>
      <c r="J38" s="66" t="s">
        <v>57</v>
      </c>
      <c r="K38" s="40" t="s">
        <v>50</v>
      </c>
      <c r="L38" s="40" t="s">
        <v>56</v>
      </c>
      <c r="M38" s="40" t="s">
        <v>57</v>
      </c>
      <c r="N38" s="40" t="s">
        <v>50</v>
      </c>
      <c r="O38" s="40" t="s">
        <v>56</v>
      </c>
      <c r="P38" s="40" t="s">
        <v>57</v>
      </c>
      <c r="Q38" s="40" t="s">
        <v>50</v>
      </c>
      <c r="R38" s="40" t="s">
        <v>56</v>
      </c>
      <c r="S38" s="40" t="s">
        <v>57</v>
      </c>
      <c r="T38" s="40" t="s">
        <v>50</v>
      </c>
      <c r="U38" s="40" t="s">
        <v>56</v>
      </c>
      <c r="V38" s="40" t="s">
        <v>57</v>
      </c>
      <c r="W38" s="40" t="s">
        <v>50</v>
      </c>
      <c r="X38" s="40" t="s">
        <v>56</v>
      </c>
      <c r="Y38" s="40" t="s">
        <v>57</v>
      </c>
      <c r="Z38" s="40" t="s">
        <v>50</v>
      </c>
      <c r="AA38" s="40" t="s">
        <v>56</v>
      </c>
      <c r="AB38" s="40" t="s">
        <v>57</v>
      </c>
      <c r="AC38" s="40" t="s">
        <v>50</v>
      </c>
      <c r="AD38" s="40" t="s">
        <v>56</v>
      </c>
      <c r="AE38" s="40" t="s">
        <v>57</v>
      </c>
      <c r="AF38" s="40" t="s">
        <v>50</v>
      </c>
      <c r="AG38" s="40" t="s">
        <v>56</v>
      </c>
      <c r="AH38" s="40" t="s">
        <v>57</v>
      </c>
      <c r="AI38" s="40" t="s">
        <v>50</v>
      </c>
      <c r="AJ38" s="40" t="s">
        <v>56</v>
      </c>
      <c r="AK38" s="40" t="s">
        <v>57</v>
      </c>
      <c r="AL38" s="40" t="s">
        <v>50</v>
      </c>
      <c r="AM38" s="40" t="s">
        <v>56</v>
      </c>
      <c r="AN38" s="40" t="s">
        <v>57</v>
      </c>
      <c r="AO38" s="40" t="s">
        <v>50</v>
      </c>
      <c r="AP38" s="40" t="s">
        <v>56</v>
      </c>
      <c r="AQ38" s="40" t="s">
        <v>57</v>
      </c>
    </row>
    <row r="39" spans="1:43" s="43" customFormat="1" ht="20.100000000000001" hidden="1" customHeight="1" x14ac:dyDescent="0.5">
      <c r="A39" s="28">
        <v>1</v>
      </c>
      <c r="B39" s="1" t="s">
        <v>67</v>
      </c>
      <c r="C39" s="34">
        <v>0.7</v>
      </c>
      <c r="D39" s="34" t="s">
        <v>96</v>
      </c>
      <c r="E39" s="29"/>
      <c r="F39" s="29"/>
      <c r="G39" s="29">
        <f>F39*C39</f>
        <v>0</v>
      </c>
      <c r="H39" s="29"/>
      <c r="I39" s="29"/>
      <c r="J39" s="29"/>
      <c r="K39" s="29"/>
      <c r="L39" s="29"/>
      <c r="M39" s="29">
        <f>L39*C39</f>
        <v>0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</row>
    <row r="40" spans="1:43" s="43" customFormat="1" ht="20.100000000000001" customHeight="1" x14ac:dyDescent="0.5">
      <c r="A40" s="28">
        <v>2</v>
      </c>
      <c r="B40" s="1" t="s">
        <v>118</v>
      </c>
      <c r="C40" s="34">
        <v>0.64</v>
      </c>
      <c r="D40" s="34" t="s">
        <v>119</v>
      </c>
      <c r="E40" s="29"/>
      <c r="F40" s="29"/>
      <c r="G40" s="29"/>
      <c r="H40" s="29"/>
      <c r="I40" s="29"/>
      <c r="J40" s="29"/>
      <c r="K40" s="29">
        <v>40</v>
      </c>
      <c r="L40" s="29">
        <v>560</v>
      </c>
      <c r="M40" s="29">
        <f>L40*C40</f>
        <v>358.40000000000003</v>
      </c>
      <c r="N40" s="29">
        <v>10</v>
      </c>
      <c r="O40" s="29">
        <v>140</v>
      </c>
      <c r="P40" s="29">
        <f>O40*C40</f>
        <v>89.600000000000009</v>
      </c>
      <c r="Q40" s="29">
        <v>101</v>
      </c>
      <c r="R40" s="29">
        <v>1414</v>
      </c>
      <c r="S40" s="29">
        <f>R40*C40</f>
        <v>904.96</v>
      </c>
      <c r="T40" s="29">
        <v>88</v>
      </c>
      <c r="U40" s="29">
        <v>1232</v>
      </c>
      <c r="V40" s="29">
        <f>U40*C40</f>
        <v>788.48</v>
      </c>
      <c r="W40" s="29">
        <v>95</v>
      </c>
      <c r="X40" s="29">
        <v>1330</v>
      </c>
      <c r="Y40" s="29">
        <f>X40*C40</f>
        <v>851.2</v>
      </c>
      <c r="Z40" s="29">
        <v>65</v>
      </c>
      <c r="AA40" s="29">
        <v>910</v>
      </c>
      <c r="AB40" s="29">
        <v>582.40000000000009</v>
      </c>
      <c r="AC40" s="29">
        <v>30</v>
      </c>
      <c r="AD40" s="29">
        <v>420</v>
      </c>
      <c r="AE40" s="29">
        <v>268.8</v>
      </c>
      <c r="AF40" s="29">
        <v>50</v>
      </c>
      <c r="AG40" s="29">
        <v>700</v>
      </c>
      <c r="AH40" s="29">
        <v>448.00000000000006</v>
      </c>
      <c r="AI40" s="29"/>
      <c r="AJ40" s="29"/>
      <c r="AK40" s="29"/>
      <c r="AL40" s="29"/>
      <c r="AM40" s="29"/>
      <c r="AN40" s="29"/>
      <c r="AO40" s="29"/>
      <c r="AP40" s="29"/>
      <c r="AQ40" s="29"/>
    </row>
    <row r="41" spans="1:43" ht="20.100000000000001" customHeight="1" x14ac:dyDescent="0.5">
      <c r="A41" s="28">
        <v>3</v>
      </c>
      <c r="B41" s="1" t="s">
        <v>69</v>
      </c>
      <c r="C41" s="30">
        <v>1</v>
      </c>
      <c r="D41" s="30" t="s">
        <v>96</v>
      </c>
      <c r="E41" s="95">
        <v>400</v>
      </c>
      <c r="F41" s="95">
        <v>4800</v>
      </c>
      <c r="G41" s="95">
        <v>4800</v>
      </c>
      <c r="H41" s="28">
        <v>180</v>
      </c>
      <c r="I41" s="28">
        <v>2160</v>
      </c>
      <c r="J41" s="28">
        <f>I41*C41</f>
        <v>2160</v>
      </c>
      <c r="K41" s="28">
        <v>480</v>
      </c>
      <c r="L41" s="28">
        <v>5760</v>
      </c>
      <c r="M41" s="29">
        <f t="shared" ref="M41:M50" si="46">L41*C41</f>
        <v>5760</v>
      </c>
      <c r="N41" s="28">
        <v>110</v>
      </c>
      <c r="O41" s="28">
        <v>1320</v>
      </c>
      <c r="P41" s="29">
        <f t="shared" ref="P41:P50" si="47">O41*C41</f>
        <v>1320</v>
      </c>
      <c r="Q41" s="28">
        <v>150</v>
      </c>
      <c r="R41" s="28">
        <v>1800</v>
      </c>
      <c r="S41" s="29">
        <f t="shared" ref="S41:S50" si="48">R41*C41</f>
        <v>1800</v>
      </c>
      <c r="T41" s="28">
        <v>450</v>
      </c>
      <c r="U41" s="28">
        <v>5400</v>
      </c>
      <c r="V41" s="29">
        <f t="shared" ref="V41:V52" si="49">U41*C41</f>
        <v>5400</v>
      </c>
      <c r="W41" s="28">
        <v>340</v>
      </c>
      <c r="X41" s="28">
        <v>4080</v>
      </c>
      <c r="Y41" s="29">
        <f t="shared" ref="Y41:Y52" si="50">X41*C41</f>
        <v>4080</v>
      </c>
      <c r="Z41" s="28">
        <v>230</v>
      </c>
      <c r="AA41" s="28">
        <v>2760</v>
      </c>
      <c r="AB41" s="28">
        <v>2760</v>
      </c>
      <c r="AC41" s="28">
        <v>150</v>
      </c>
      <c r="AD41" s="28">
        <v>1800</v>
      </c>
      <c r="AE41" s="28">
        <v>1800</v>
      </c>
      <c r="AF41" s="28">
        <v>230</v>
      </c>
      <c r="AG41" s="28">
        <v>2760</v>
      </c>
      <c r="AH41" s="28">
        <v>2760</v>
      </c>
      <c r="AI41" s="28">
        <v>230</v>
      </c>
      <c r="AJ41" s="28">
        <v>2760</v>
      </c>
      <c r="AK41" s="28">
        <v>2760</v>
      </c>
      <c r="AL41" s="28">
        <v>252</v>
      </c>
      <c r="AM41" s="28">
        <v>3024</v>
      </c>
      <c r="AN41" s="28">
        <v>3024</v>
      </c>
      <c r="AO41" s="28"/>
      <c r="AP41" s="28"/>
      <c r="AQ41" s="28"/>
    </row>
    <row r="42" spans="1:43" ht="20.100000000000001" customHeight="1" x14ac:dyDescent="0.5">
      <c r="A42" s="28">
        <v>4</v>
      </c>
      <c r="B42" s="1" t="s">
        <v>71</v>
      </c>
      <c r="C42" s="30">
        <v>0.35</v>
      </c>
      <c r="D42" s="30" t="s">
        <v>97</v>
      </c>
      <c r="E42" s="95">
        <v>15</v>
      </c>
      <c r="F42" s="95">
        <v>600</v>
      </c>
      <c r="G42" s="95">
        <v>210</v>
      </c>
      <c r="H42" s="28"/>
      <c r="I42" s="28"/>
      <c r="J42" s="28">
        <f t="shared" ref="J42:J50" si="51">I42*C42</f>
        <v>0</v>
      </c>
      <c r="K42" s="28">
        <v>25</v>
      </c>
      <c r="L42" s="28">
        <v>1000</v>
      </c>
      <c r="M42" s="29">
        <f t="shared" si="46"/>
        <v>350</v>
      </c>
      <c r="N42" s="28"/>
      <c r="O42" s="28"/>
      <c r="P42" s="29">
        <f t="shared" si="47"/>
        <v>0</v>
      </c>
      <c r="Q42" s="28">
        <v>20</v>
      </c>
      <c r="R42" s="28">
        <v>800</v>
      </c>
      <c r="S42" s="29">
        <f t="shared" si="48"/>
        <v>280</v>
      </c>
      <c r="T42" s="28">
        <v>35</v>
      </c>
      <c r="U42" s="28">
        <v>1400</v>
      </c>
      <c r="V42" s="29">
        <f t="shared" si="49"/>
        <v>489.99999999999994</v>
      </c>
      <c r="W42" s="28">
        <v>25</v>
      </c>
      <c r="X42" s="28">
        <v>1000</v>
      </c>
      <c r="Y42" s="29">
        <f t="shared" si="50"/>
        <v>350</v>
      </c>
      <c r="Z42" s="28">
        <v>5</v>
      </c>
      <c r="AA42" s="28">
        <v>200</v>
      </c>
      <c r="AB42" s="28">
        <v>70</v>
      </c>
      <c r="AC42" s="28">
        <v>10</v>
      </c>
      <c r="AD42" s="28">
        <v>400</v>
      </c>
      <c r="AE42" s="28">
        <v>140</v>
      </c>
      <c r="AF42" s="28">
        <v>10</v>
      </c>
      <c r="AG42" s="28">
        <v>400</v>
      </c>
      <c r="AH42" s="28">
        <v>140</v>
      </c>
      <c r="AI42" s="28">
        <v>15</v>
      </c>
      <c r="AJ42" s="28">
        <v>600</v>
      </c>
      <c r="AK42" s="28">
        <v>210</v>
      </c>
      <c r="AL42" s="28">
        <v>10</v>
      </c>
      <c r="AM42" s="28">
        <v>400</v>
      </c>
      <c r="AN42" s="28">
        <v>140</v>
      </c>
      <c r="AO42" s="28"/>
      <c r="AP42" s="28"/>
      <c r="AQ42" s="28"/>
    </row>
    <row r="43" spans="1:43" ht="20.100000000000001" customHeight="1" x14ac:dyDescent="0.5">
      <c r="A43" s="28">
        <v>5</v>
      </c>
      <c r="B43" s="1" t="s">
        <v>73</v>
      </c>
      <c r="C43" s="30">
        <v>0.64</v>
      </c>
      <c r="D43" s="30" t="s">
        <v>99</v>
      </c>
      <c r="E43" s="28">
        <v>45</v>
      </c>
      <c r="F43" s="28">
        <v>630</v>
      </c>
      <c r="G43" s="29">
        <f t="shared" ref="G43:G51" si="52">F43*C43</f>
        <v>403.2</v>
      </c>
      <c r="H43" s="28">
        <v>50</v>
      </c>
      <c r="I43" s="28">
        <v>700</v>
      </c>
      <c r="J43" s="28">
        <f t="shared" si="51"/>
        <v>448</v>
      </c>
      <c r="K43" s="28"/>
      <c r="L43" s="28"/>
      <c r="M43" s="29">
        <f t="shared" si="46"/>
        <v>0</v>
      </c>
      <c r="N43" s="28"/>
      <c r="O43" s="28"/>
      <c r="P43" s="29">
        <f t="shared" si="47"/>
        <v>0</v>
      </c>
      <c r="Q43" s="28"/>
      <c r="R43" s="28"/>
      <c r="S43" s="29">
        <f t="shared" si="48"/>
        <v>0</v>
      </c>
      <c r="T43" s="28"/>
      <c r="U43" s="28"/>
      <c r="V43" s="29">
        <f t="shared" si="49"/>
        <v>0</v>
      </c>
      <c r="W43" s="28"/>
      <c r="X43" s="28"/>
      <c r="Y43" s="29">
        <f t="shared" si="50"/>
        <v>0</v>
      </c>
      <c r="Z43" s="28"/>
      <c r="AA43" s="28"/>
      <c r="AB43" s="28"/>
      <c r="AC43" s="28"/>
      <c r="AD43" s="28"/>
      <c r="AE43" s="28"/>
      <c r="AF43" s="28"/>
      <c r="AG43" s="28"/>
      <c r="AH43" s="28"/>
      <c r="AI43" s="28">
        <v>25</v>
      </c>
      <c r="AJ43" s="28">
        <v>350</v>
      </c>
      <c r="AK43" s="28">
        <v>224</v>
      </c>
      <c r="AL43" s="28">
        <v>40</v>
      </c>
      <c r="AM43" s="28">
        <v>560</v>
      </c>
      <c r="AN43" s="28">
        <v>358.40000000000003</v>
      </c>
      <c r="AO43" s="28"/>
      <c r="AP43" s="28"/>
      <c r="AQ43" s="28"/>
    </row>
    <row r="44" spans="1:43" ht="20.100000000000001" customHeight="1" x14ac:dyDescent="0.5">
      <c r="A44" s="28">
        <v>6</v>
      </c>
      <c r="B44" s="1" t="s">
        <v>80</v>
      </c>
      <c r="C44" s="30">
        <v>0.64</v>
      </c>
      <c r="D44" s="30" t="s">
        <v>99</v>
      </c>
      <c r="E44" s="28">
        <v>200</v>
      </c>
      <c r="F44" s="28">
        <v>2800</v>
      </c>
      <c r="G44" s="29">
        <f t="shared" si="52"/>
        <v>1792</v>
      </c>
      <c r="H44" s="28"/>
      <c r="I44" s="28"/>
      <c r="J44" s="28">
        <f t="shared" si="51"/>
        <v>0</v>
      </c>
      <c r="K44" s="28">
        <v>200</v>
      </c>
      <c r="L44" s="28">
        <v>2800</v>
      </c>
      <c r="M44" s="29">
        <f t="shared" si="46"/>
        <v>1792</v>
      </c>
      <c r="N44" s="28">
        <v>200</v>
      </c>
      <c r="O44" s="28">
        <v>2800</v>
      </c>
      <c r="P44" s="29">
        <f t="shared" si="47"/>
        <v>1792</v>
      </c>
      <c r="Q44" s="28"/>
      <c r="R44" s="28"/>
      <c r="S44" s="29">
        <f t="shared" si="48"/>
        <v>0</v>
      </c>
      <c r="T44" s="28">
        <v>200</v>
      </c>
      <c r="U44" s="28">
        <v>2800</v>
      </c>
      <c r="V44" s="29">
        <f t="shared" si="49"/>
        <v>1792</v>
      </c>
      <c r="W44" s="28">
        <v>200</v>
      </c>
      <c r="X44" s="28">
        <v>2800</v>
      </c>
      <c r="Y44" s="29">
        <f t="shared" si="50"/>
        <v>1792</v>
      </c>
      <c r="Z44" s="28"/>
      <c r="AA44" s="28"/>
      <c r="AB44" s="28"/>
      <c r="AC44" s="28">
        <v>200</v>
      </c>
      <c r="AD44" s="28">
        <v>2800</v>
      </c>
      <c r="AE44" s="28">
        <v>1792</v>
      </c>
      <c r="AF44" s="28">
        <v>200</v>
      </c>
      <c r="AG44" s="28">
        <v>2800</v>
      </c>
      <c r="AH44" s="28">
        <v>1792</v>
      </c>
      <c r="AI44" s="28">
        <v>200</v>
      </c>
      <c r="AJ44" s="28">
        <v>2800</v>
      </c>
      <c r="AK44" s="28">
        <v>1792</v>
      </c>
      <c r="AL44" s="28"/>
      <c r="AM44" s="28"/>
      <c r="AN44" s="28"/>
      <c r="AO44" s="28"/>
      <c r="AP44" s="28"/>
      <c r="AQ44" s="28"/>
    </row>
    <row r="45" spans="1:43" ht="20.100000000000001" customHeight="1" x14ac:dyDescent="0.5">
      <c r="A45" s="28">
        <v>7</v>
      </c>
      <c r="B45" s="1" t="s">
        <v>146</v>
      </c>
      <c r="C45" s="30">
        <v>1</v>
      </c>
      <c r="D45" s="30"/>
      <c r="E45" s="28"/>
      <c r="F45" s="28"/>
      <c r="G45" s="29"/>
      <c r="H45" s="28"/>
      <c r="I45" s="28"/>
      <c r="J45" s="28">
        <f t="shared" si="51"/>
        <v>0</v>
      </c>
      <c r="K45" s="28"/>
      <c r="L45" s="28"/>
      <c r="M45" s="29"/>
      <c r="N45" s="28"/>
      <c r="O45" s="28"/>
      <c r="P45" s="29"/>
      <c r="Q45" s="28"/>
      <c r="R45" s="28"/>
      <c r="S45" s="29">
        <f t="shared" si="48"/>
        <v>0</v>
      </c>
      <c r="T45" s="28"/>
      <c r="U45" s="28"/>
      <c r="V45" s="29"/>
      <c r="W45" s="28">
        <v>11</v>
      </c>
      <c r="X45" s="28">
        <v>132</v>
      </c>
      <c r="Y45" s="29">
        <f t="shared" si="50"/>
        <v>132</v>
      </c>
      <c r="Z45" s="28">
        <v>45</v>
      </c>
      <c r="AA45" s="28">
        <v>540</v>
      </c>
      <c r="AB45" s="28">
        <v>540</v>
      </c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0.100000000000001" customHeight="1" x14ac:dyDescent="0.5">
      <c r="A46" s="28">
        <v>8</v>
      </c>
      <c r="B46" s="1" t="s">
        <v>147</v>
      </c>
      <c r="C46" s="30">
        <v>1</v>
      </c>
      <c r="D46" s="30"/>
      <c r="E46" s="28"/>
      <c r="F46" s="28"/>
      <c r="G46" s="29"/>
      <c r="H46" s="28"/>
      <c r="I46" s="28"/>
      <c r="J46" s="28">
        <f t="shared" si="51"/>
        <v>0</v>
      </c>
      <c r="K46" s="28"/>
      <c r="L46" s="28"/>
      <c r="M46" s="29"/>
      <c r="N46" s="28"/>
      <c r="O46" s="28"/>
      <c r="P46" s="29"/>
      <c r="Q46" s="28"/>
      <c r="R46" s="28"/>
      <c r="S46" s="29">
        <f t="shared" si="48"/>
        <v>0</v>
      </c>
      <c r="T46" s="28"/>
      <c r="U46" s="28"/>
      <c r="V46" s="29"/>
      <c r="W46" s="28">
        <v>11</v>
      </c>
      <c r="X46" s="28">
        <v>132</v>
      </c>
      <c r="Y46" s="29">
        <f t="shared" si="50"/>
        <v>132</v>
      </c>
      <c r="Z46" s="28"/>
      <c r="AA46" s="28"/>
      <c r="AB46" s="28"/>
      <c r="AC46" s="28">
        <v>28</v>
      </c>
      <c r="AD46" s="28">
        <v>336</v>
      </c>
      <c r="AE46" s="28">
        <v>336</v>
      </c>
      <c r="AF46" s="28">
        <v>5</v>
      </c>
      <c r="AG46" s="28">
        <v>60</v>
      </c>
      <c r="AH46" s="28">
        <v>60</v>
      </c>
      <c r="AI46" s="28">
        <v>10</v>
      </c>
      <c r="AJ46" s="28">
        <v>120</v>
      </c>
      <c r="AK46" s="28">
        <v>120</v>
      </c>
      <c r="AL46" s="28">
        <v>30</v>
      </c>
      <c r="AM46" s="28">
        <v>360</v>
      </c>
      <c r="AN46" s="28">
        <v>360</v>
      </c>
      <c r="AO46" s="28"/>
      <c r="AP46" s="28"/>
      <c r="AQ46" s="28"/>
    </row>
    <row r="47" spans="1:43" ht="20.100000000000001" customHeight="1" x14ac:dyDescent="0.5">
      <c r="A47" s="28">
        <v>9</v>
      </c>
      <c r="B47" s="1" t="s">
        <v>83</v>
      </c>
      <c r="C47" s="30">
        <v>1</v>
      </c>
      <c r="D47" s="30" t="s">
        <v>96</v>
      </c>
      <c r="E47" s="28">
        <v>100</v>
      </c>
      <c r="F47" s="28">
        <v>1200</v>
      </c>
      <c r="G47" s="29">
        <f t="shared" si="52"/>
        <v>1200</v>
      </c>
      <c r="H47" s="28">
        <v>50</v>
      </c>
      <c r="I47" s="28">
        <v>600</v>
      </c>
      <c r="J47" s="28">
        <f t="shared" si="51"/>
        <v>600</v>
      </c>
      <c r="K47" s="28">
        <v>150</v>
      </c>
      <c r="L47" s="28">
        <v>1800</v>
      </c>
      <c r="M47" s="29">
        <f t="shared" si="46"/>
        <v>1800</v>
      </c>
      <c r="N47" s="28"/>
      <c r="O47" s="28"/>
      <c r="P47" s="29">
        <f t="shared" si="47"/>
        <v>0</v>
      </c>
      <c r="Q47" s="28">
        <v>150</v>
      </c>
      <c r="R47" s="28">
        <v>1800</v>
      </c>
      <c r="S47" s="29">
        <f t="shared" si="48"/>
        <v>1800</v>
      </c>
      <c r="T47" s="28">
        <v>150</v>
      </c>
      <c r="U47" s="28">
        <v>1800</v>
      </c>
      <c r="V47" s="29">
        <f t="shared" si="49"/>
        <v>1800</v>
      </c>
      <c r="W47" s="28">
        <v>100</v>
      </c>
      <c r="X47" s="28">
        <v>1200</v>
      </c>
      <c r="Y47" s="29">
        <f t="shared" si="50"/>
        <v>1200</v>
      </c>
      <c r="Z47" s="28">
        <v>100</v>
      </c>
      <c r="AA47" s="28">
        <v>1200</v>
      </c>
      <c r="AB47" s="28">
        <v>1200</v>
      </c>
      <c r="AC47" s="28">
        <v>150</v>
      </c>
      <c r="AD47" s="28">
        <v>1800</v>
      </c>
      <c r="AE47" s="28">
        <v>1800</v>
      </c>
      <c r="AF47" s="28">
        <v>110</v>
      </c>
      <c r="AG47" s="28">
        <v>1320</v>
      </c>
      <c r="AH47" s="28">
        <v>1320</v>
      </c>
      <c r="AI47" s="28">
        <v>300</v>
      </c>
      <c r="AJ47" s="28">
        <v>3600</v>
      </c>
      <c r="AK47" s="28">
        <v>3600</v>
      </c>
      <c r="AL47" s="28">
        <v>100</v>
      </c>
      <c r="AM47" s="28">
        <v>1200</v>
      </c>
      <c r="AN47" s="28">
        <v>1200</v>
      </c>
      <c r="AO47" s="28"/>
      <c r="AP47" s="28"/>
      <c r="AQ47" s="28"/>
    </row>
    <row r="48" spans="1:43" ht="20.100000000000001" customHeight="1" x14ac:dyDescent="0.5">
      <c r="A48" s="28">
        <v>10</v>
      </c>
      <c r="B48" s="1" t="s">
        <v>88</v>
      </c>
      <c r="C48" s="30">
        <v>0.64</v>
      </c>
      <c r="D48" s="30" t="s">
        <v>99</v>
      </c>
      <c r="E48" s="28">
        <v>400</v>
      </c>
      <c r="F48" s="28">
        <v>5600</v>
      </c>
      <c r="G48" s="29">
        <f t="shared" si="52"/>
        <v>3584</v>
      </c>
      <c r="H48" s="28">
        <v>400</v>
      </c>
      <c r="I48" s="28">
        <v>5600</v>
      </c>
      <c r="J48" s="28">
        <f t="shared" si="51"/>
        <v>3584</v>
      </c>
      <c r="K48" s="28">
        <v>1050</v>
      </c>
      <c r="L48" s="28">
        <v>14700</v>
      </c>
      <c r="M48" s="29">
        <f t="shared" si="46"/>
        <v>9408</v>
      </c>
      <c r="N48" s="28">
        <v>200</v>
      </c>
      <c r="O48" s="28">
        <v>2800</v>
      </c>
      <c r="P48" s="29">
        <f t="shared" si="47"/>
        <v>1792</v>
      </c>
      <c r="Q48" s="28">
        <v>350</v>
      </c>
      <c r="R48" s="28">
        <v>4900</v>
      </c>
      <c r="S48" s="29">
        <f t="shared" si="48"/>
        <v>3136</v>
      </c>
      <c r="T48" s="28">
        <v>550</v>
      </c>
      <c r="U48" s="28">
        <v>7700</v>
      </c>
      <c r="V48" s="29">
        <f t="shared" si="49"/>
        <v>4928</v>
      </c>
      <c r="W48" s="28">
        <v>350</v>
      </c>
      <c r="X48" s="28">
        <v>4900</v>
      </c>
      <c r="Y48" s="29">
        <f t="shared" si="50"/>
        <v>3136</v>
      </c>
      <c r="Z48" s="28">
        <v>400</v>
      </c>
      <c r="AA48" s="28">
        <v>5600</v>
      </c>
      <c r="AB48" s="28">
        <v>3584</v>
      </c>
      <c r="AC48" s="28">
        <v>650</v>
      </c>
      <c r="AD48" s="28">
        <v>9100</v>
      </c>
      <c r="AE48" s="28">
        <v>5824</v>
      </c>
      <c r="AF48" s="28">
        <v>500</v>
      </c>
      <c r="AG48" s="28">
        <v>7000</v>
      </c>
      <c r="AH48" s="28">
        <v>4480</v>
      </c>
      <c r="AI48" s="28">
        <v>450</v>
      </c>
      <c r="AJ48" s="28">
        <v>6300</v>
      </c>
      <c r="AK48" s="28">
        <v>4032</v>
      </c>
      <c r="AL48" s="28">
        <v>350</v>
      </c>
      <c r="AM48" s="28">
        <v>4900</v>
      </c>
      <c r="AN48" s="28">
        <v>3136</v>
      </c>
      <c r="AO48" s="28"/>
      <c r="AP48" s="28"/>
      <c r="AQ48" s="28"/>
    </row>
    <row r="49" spans="1:43" ht="20.100000000000001" customHeight="1" x14ac:dyDescent="0.5">
      <c r="A49" s="28">
        <v>11</v>
      </c>
      <c r="B49" s="1" t="s">
        <v>9</v>
      </c>
      <c r="C49" s="30">
        <v>0.64</v>
      </c>
      <c r="D49" s="30" t="s">
        <v>119</v>
      </c>
      <c r="E49" s="57"/>
      <c r="F49" s="57"/>
      <c r="G49" s="29"/>
      <c r="H49" s="57"/>
      <c r="I49" s="57"/>
      <c r="J49" s="28"/>
      <c r="K49" s="57">
        <v>20</v>
      </c>
      <c r="L49" s="57">
        <v>280</v>
      </c>
      <c r="M49" s="29">
        <f t="shared" si="46"/>
        <v>179.20000000000002</v>
      </c>
      <c r="N49" s="57"/>
      <c r="O49" s="57"/>
      <c r="P49" s="29">
        <f t="shared" si="47"/>
        <v>0</v>
      </c>
      <c r="Q49" s="57"/>
      <c r="R49" s="57"/>
      <c r="S49" s="29">
        <f t="shared" si="48"/>
        <v>0</v>
      </c>
      <c r="T49" s="57"/>
      <c r="U49" s="57"/>
      <c r="V49" s="29">
        <f t="shared" si="49"/>
        <v>0</v>
      </c>
      <c r="W49" s="57"/>
      <c r="X49" s="57"/>
      <c r="Y49" s="29">
        <f t="shared" si="50"/>
        <v>0</v>
      </c>
      <c r="Z49" s="57"/>
      <c r="AA49" s="57"/>
      <c r="AB49" s="57"/>
      <c r="AC49" s="57"/>
      <c r="AD49" s="57"/>
      <c r="AE49" s="57"/>
      <c r="AF49" s="57"/>
      <c r="AG49" s="57"/>
      <c r="AH49" s="57"/>
      <c r="AI49" s="57">
        <v>30</v>
      </c>
      <c r="AJ49" s="57">
        <v>420</v>
      </c>
      <c r="AK49" s="57">
        <v>268.8</v>
      </c>
      <c r="AL49" s="57"/>
      <c r="AM49" s="57"/>
      <c r="AN49" s="57"/>
      <c r="AO49" s="57"/>
      <c r="AP49" s="57"/>
      <c r="AQ49" s="57"/>
    </row>
    <row r="50" spans="1:43" ht="20.100000000000001" customHeight="1" x14ac:dyDescent="0.5">
      <c r="A50" s="28">
        <v>12</v>
      </c>
      <c r="B50" s="30" t="s">
        <v>92</v>
      </c>
      <c r="C50" s="30">
        <v>0.64</v>
      </c>
      <c r="D50" s="30" t="s">
        <v>98</v>
      </c>
      <c r="E50" s="57">
        <v>30</v>
      </c>
      <c r="F50" s="57">
        <v>720</v>
      </c>
      <c r="G50" s="29">
        <f t="shared" si="52"/>
        <v>460.8</v>
      </c>
      <c r="H50" s="57">
        <v>50</v>
      </c>
      <c r="I50" s="57">
        <v>1200</v>
      </c>
      <c r="J50" s="28">
        <f t="shared" si="51"/>
        <v>768</v>
      </c>
      <c r="K50" s="57">
        <v>30</v>
      </c>
      <c r="L50" s="57">
        <v>720</v>
      </c>
      <c r="M50" s="29">
        <f t="shared" si="46"/>
        <v>460.8</v>
      </c>
      <c r="N50" s="57">
        <v>75</v>
      </c>
      <c r="O50" s="57">
        <v>1800</v>
      </c>
      <c r="P50" s="29">
        <f t="shared" si="47"/>
        <v>1152</v>
      </c>
      <c r="Q50" s="57">
        <v>60</v>
      </c>
      <c r="R50" s="57">
        <v>1440</v>
      </c>
      <c r="S50" s="29">
        <f t="shared" si="48"/>
        <v>921.6</v>
      </c>
      <c r="T50" s="57">
        <v>30</v>
      </c>
      <c r="U50" s="57">
        <v>720</v>
      </c>
      <c r="V50" s="29">
        <f t="shared" si="49"/>
        <v>460.8</v>
      </c>
      <c r="W50" s="57">
        <v>30</v>
      </c>
      <c r="X50" s="57">
        <v>720</v>
      </c>
      <c r="Y50" s="29">
        <f t="shared" si="50"/>
        <v>460.8</v>
      </c>
      <c r="Z50" s="57">
        <v>30</v>
      </c>
      <c r="AA50" s="57">
        <v>720</v>
      </c>
      <c r="AB50" s="57">
        <v>460.8</v>
      </c>
      <c r="AC50" s="57">
        <v>30</v>
      </c>
      <c r="AD50" s="57">
        <v>720</v>
      </c>
      <c r="AE50" s="57">
        <v>460.8</v>
      </c>
      <c r="AF50" s="57">
        <v>30</v>
      </c>
      <c r="AG50" s="57">
        <v>720</v>
      </c>
      <c r="AH50" s="57">
        <v>460.8</v>
      </c>
      <c r="AI50" s="57">
        <v>60</v>
      </c>
      <c r="AJ50" s="57">
        <v>1440</v>
      </c>
      <c r="AK50" s="57">
        <v>921.6</v>
      </c>
      <c r="AL50" s="57"/>
      <c r="AM50" s="57"/>
      <c r="AN50" s="57"/>
      <c r="AO50" s="57"/>
      <c r="AP50" s="57"/>
      <c r="AQ50" s="57"/>
    </row>
    <row r="51" spans="1:43" ht="25.15" customHeight="1" x14ac:dyDescent="0.5">
      <c r="A51" s="28">
        <v>13</v>
      </c>
      <c r="B51" s="30" t="s">
        <v>8</v>
      </c>
      <c r="C51" s="1">
        <v>0.7</v>
      </c>
      <c r="D51" s="1" t="s">
        <v>96</v>
      </c>
      <c r="E51" s="29"/>
      <c r="F51" s="29"/>
      <c r="G51" s="29">
        <f t="shared" si="52"/>
        <v>0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>
        <v>2</v>
      </c>
      <c r="U51" s="29">
        <v>24</v>
      </c>
      <c r="V51" s="29">
        <f t="shared" si="49"/>
        <v>16.799999999999997</v>
      </c>
      <c r="W51" s="29"/>
      <c r="X51" s="29"/>
      <c r="Y51" s="29">
        <f t="shared" si="50"/>
        <v>0</v>
      </c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</row>
    <row r="52" spans="1:43" ht="25.15" customHeight="1" x14ac:dyDescent="0.5">
      <c r="A52" s="28">
        <v>14</v>
      </c>
      <c r="B52" s="30" t="s">
        <v>7</v>
      </c>
      <c r="C52" s="1">
        <v>0.35</v>
      </c>
      <c r="D52" s="1" t="s">
        <v>98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>
        <f t="shared" si="49"/>
        <v>0</v>
      </c>
      <c r="W52" s="29"/>
      <c r="X52" s="29"/>
      <c r="Y52" s="29">
        <f t="shared" si="50"/>
        <v>0</v>
      </c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</row>
    <row r="53" spans="1:43" s="41" customFormat="1" ht="24" customHeight="1" x14ac:dyDescent="0.5">
      <c r="A53" s="24"/>
      <c r="B53" s="239" t="s">
        <v>10</v>
      </c>
      <c r="C53" s="240"/>
      <c r="D53" s="241"/>
      <c r="E53" s="22">
        <f>SUM(E39:E50)</f>
        <v>1190</v>
      </c>
      <c r="F53" s="22">
        <f>SUM(F39:F50)</f>
        <v>16350</v>
      </c>
      <c r="G53" s="22">
        <f>SUM(G39:G50)</f>
        <v>12450</v>
      </c>
      <c r="H53" s="22">
        <f>SUM(H39:H50)</f>
        <v>730</v>
      </c>
      <c r="I53" s="22">
        <f t="shared" ref="I53:J53" si="53">SUM(I39:I50)</f>
        <v>10260</v>
      </c>
      <c r="J53" s="22">
        <f t="shared" si="53"/>
        <v>7560</v>
      </c>
      <c r="K53" s="22">
        <f t="shared" ref="K53:Q53" si="54">SUM(K39:K50)</f>
        <v>1995</v>
      </c>
      <c r="L53" s="22">
        <f t="shared" si="54"/>
        <v>27620</v>
      </c>
      <c r="M53" s="22">
        <f t="shared" si="54"/>
        <v>20108.400000000001</v>
      </c>
      <c r="N53" s="22">
        <f t="shared" si="54"/>
        <v>595</v>
      </c>
      <c r="O53" s="22">
        <f t="shared" si="54"/>
        <v>8860</v>
      </c>
      <c r="P53" s="22">
        <f t="shared" si="54"/>
        <v>6145.6</v>
      </c>
      <c r="Q53" s="22">
        <f t="shared" si="54"/>
        <v>831</v>
      </c>
      <c r="R53" s="22">
        <f t="shared" ref="R53:AN53" si="55">SUM(R39:R50)</f>
        <v>12154</v>
      </c>
      <c r="S53" s="22">
        <f>SUM(S39:S50)</f>
        <v>8842.56</v>
      </c>
      <c r="T53" s="22">
        <f>SUM(T39:T52)</f>
        <v>1505</v>
      </c>
      <c r="U53" s="22">
        <f t="shared" ref="U53:V53" si="56">SUM(U39:U52)</f>
        <v>21076</v>
      </c>
      <c r="V53" s="22">
        <f t="shared" si="56"/>
        <v>15676.079999999998</v>
      </c>
      <c r="W53" s="22">
        <f>SUM(W39:W52)</f>
        <v>1162</v>
      </c>
      <c r="X53" s="22">
        <f t="shared" ref="X53:Y53" si="57">SUM(X39:X52)</f>
        <v>16294</v>
      </c>
      <c r="Y53" s="22">
        <f t="shared" si="57"/>
        <v>12134</v>
      </c>
      <c r="Z53" s="22">
        <f t="shared" si="55"/>
        <v>875</v>
      </c>
      <c r="AA53" s="22">
        <f t="shared" si="55"/>
        <v>11930</v>
      </c>
      <c r="AB53" s="22">
        <f t="shared" si="55"/>
        <v>9197.1999999999989</v>
      </c>
      <c r="AC53" s="22">
        <f t="shared" si="55"/>
        <v>1248</v>
      </c>
      <c r="AD53" s="22">
        <f t="shared" si="55"/>
        <v>17376</v>
      </c>
      <c r="AE53" s="22">
        <f t="shared" si="55"/>
        <v>12421.599999999999</v>
      </c>
      <c r="AF53" s="22">
        <f>SUM(AF39:AF52)</f>
        <v>1135</v>
      </c>
      <c r="AG53" s="22">
        <f t="shared" ref="AG53:AH53" si="58">SUM(AG39:AG52)</f>
        <v>15760</v>
      </c>
      <c r="AH53" s="22">
        <f t="shared" si="58"/>
        <v>11460.8</v>
      </c>
      <c r="AI53" s="22">
        <f>SUM(AI39:AI52)</f>
        <v>1320</v>
      </c>
      <c r="AJ53" s="22">
        <f t="shared" ref="AJ53:AK53" si="59">SUM(AJ39:AJ52)</f>
        <v>18390</v>
      </c>
      <c r="AK53" s="22">
        <f t="shared" si="59"/>
        <v>13928.4</v>
      </c>
      <c r="AL53" s="22">
        <f t="shared" si="55"/>
        <v>782</v>
      </c>
      <c r="AM53" s="22">
        <f t="shared" si="55"/>
        <v>10444</v>
      </c>
      <c r="AN53" s="22">
        <f t="shared" si="55"/>
        <v>8218.4</v>
      </c>
      <c r="AO53" s="22">
        <f t="shared" ref="AO53:AQ53" si="60">SUM(AO39:AO50)</f>
        <v>0</v>
      </c>
      <c r="AP53" s="22">
        <f t="shared" si="60"/>
        <v>0</v>
      </c>
      <c r="AQ53" s="22">
        <f t="shared" si="60"/>
        <v>0</v>
      </c>
    </row>
    <row r="54" spans="1:43" ht="24" customHeight="1" x14ac:dyDescent="0.5">
      <c r="A54" s="39"/>
      <c r="B54" s="30"/>
      <c r="C54" s="30"/>
      <c r="D54" s="30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ht="25.15" customHeight="1" x14ac:dyDescent="0.5">
      <c r="A55" s="39">
        <v>1</v>
      </c>
      <c r="B55" s="30" t="s">
        <v>6</v>
      </c>
      <c r="C55" s="1">
        <v>0.7</v>
      </c>
      <c r="D55" s="1" t="s">
        <v>96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>
        <f>X55*C55</f>
        <v>0</v>
      </c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</row>
    <row r="56" spans="1:43" ht="25.15" customHeight="1" x14ac:dyDescent="0.5">
      <c r="A56" s="39">
        <v>2</v>
      </c>
      <c r="B56" s="30" t="s">
        <v>5</v>
      </c>
      <c r="C56" s="1">
        <v>0.35</v>
      </c>
      <c r="D56" s="1" t="s">
        <v>98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>
        <f t="shared" ref="Y56:Y63" si="61">X56*C56</f>
        <v>0</v>
      </c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</row>
    <row r="57" spans="1:43" ht="25.15" customHeight="1" x14ac:dyDescent="0.5">
      <c r="A57" s="39">
        <v>3</v>
      </c>
      <c r="B57" s="30" t="s">
        <v>4</v>
      </c>
      <c r="C57" s="1">
        <v>0.17499999999999999</v>
      </c>
      <c r="D57" s="1" t="s">
        <v>100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>
        <f t="shared" si="61"/>
        <v>0</v>
      </c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</row>
    <row r="58" spans="1:43" ht="25.15" customHeight="1" x14ac:dyDescent="0.5">
      <c r="A58" s="39">
        <v>4</v>
      </c>
      <c r="B58" s="30" t="s">
        <v>3</v>
      </c>
      <c r="C58" s="1">
        <v>0.7</v>
      </c>
      <c r="D58" s="1" t="s">
        <v>96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>
        <f t="shared" si="61"/>
        <v>0</v>
      </c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</row>
    <row r="59" spans="1:43" ht="25.15" customHeight="1" x14ac:dyDescent="0.5">
      <c r="A59" s="39">
        <v>5</v>
      </c>
      <c r="B59" s="30" t="s">
        <v>2</v>
      </c>
      <c r="C59" s="1">
        <v>0.35</v>
      </c>
      <c r="D59" s="1" t="s">
        <v>98</v>
      </c>
      <c r="E59" s="29"/>
      <c r="F59" s="29"/>
      <c r="G59" s="29">
        <f>F59*C59</f>
        <v>0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>
        <f t="shared" si="61"/>
        <v>0</v>
      </c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ht="25.15" customHeight="1" x14ac:dyDescent="0.5">
      <c r="A60" s="39">
        <v>6</v>
      </c>
      <c r="B60" s="30" t="s">
        <v>1</v>
      </c>
      <c r="C60" s="1">
        <v>0.17499999999999999</v>
      </c>
      <c r="D60" s="1" t="s">
        <v>100</v>
      </c>
      <c r="E60" s="29"/>
      <c r="F60" s="29"/>
      <c r="G60" s="29">
        <f t="shared" ref="G60:G62" si="62">F60*C60</f>
        <v>0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>
        <f t="shared" si="61"/>
        <v>0</v>
      </c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5.15" customHeight="1" x14ac:dyDescent="0.5">
      <c r="A61" s="39">
        <v>7</v>
      </c>
      <c r="B61" s="30" t="s">
        <v>0</v>
      </c>
      <c r="C61" s="1">
        <v>0.7</v>
      </c>
      <c r="D61" s="1" t="s">
        <v>96</v>
      </c>
      <c r="E61" s="29"/>
      <c r="F61" s="29"/>
      <c r="G61" s="29">
        <f t="shared" si="62"/>
        <v>0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>
        <f t="shared" si="61"/>
        <v>0</v>
      </c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ht="25.15" customHeight="1" x14ac:dyDescent="0.5">
      <c r="A62" s="39">
        <v>8</v>
      </c>
      <c r="B62" s="30" t="s">
        <v>8</v>
      </c>
      <c r="C62" s="1">
        <v>0.7</v>
      </c>
      <c r="D62" s="1" t="s">
        <v>96</v>
      </c>
      <c r="E62" s="29"/>
      <c r="F62" s="29"/>
      <c r="G62" s="29">
        <f t="shared" si="62"/>
        <v>0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>
        <f t="shared" si="61"/>
        <v>0</v>
      </c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ht="25.15" customHeight="1" x14ac:dyDescent="0.5">
      <c r="A63" s="39">
        <v>9</v>
      </c>
      <c r="B63" s="30" t="s">
        <v>7</v>
      </c>
      <c r="C63" s="1">
        <v>0.35</v>
      </c>
      <c r="D63" s="1" t="s">
        <v>98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>
        <f t="shared" si="61"/>
        <v>0</v>
      </c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ht="25.15" customHeight="1" x14ac:dyDescent="0.5">
      <c r="A64" s="46"/>
      <c r="B64" s="239" t="s">
        <v>10</v>
      </c>
      <c r="C64" s="240"/>
      <c r="D64" s="241"/>
      <c r="E64" s="22">
        <f t="shared" ref="E64:AN64" si="63">SUM(E55:E63)</f>
        <v>0</v>
      </c>
      <c r="F64" s="22">
        <f t="shared" si="63"/>
        <v>0</v>
      </c>
      <c r="G64" s="22">
        <f>SUM(G55:G63)</f>
        <v>0</v>
      </c>
      <c r="H64" s="22">
        <f t="shared" si="63"/>
        <v>0</v>
      </c>
      <c r="I64" s="22">
        <f t="shared" si="63"/>
        <v>0</v>
      </c>
      <c r="J64" s="22">
        <f t="shared" si="63"/>
        <v>0</v>
      </c>
      <c r="K64" s="22">
        <f t="shared" si="63"/>
        <v>0</v>
      </c>
      <c r="L64" s="22">
        <f t="shared" si="63"/>
        <v>0</v>
      </c>
      <c r="M64" s="22">
        <f t="shared" si="63"/>
        <v>0</v>
      </c>
      <c r="N64" s="22">
        <f t="shared" si="63"/>
        <v>0</v>
      </c>
      <c r="O64" s="22">
        <f t="shared" si="63"/>
        <v>0</v>
      </c>
      <c r="P64" s="22">
        <f t="shared" si="63"/>
        <v>0</v>
      </c>
      <c r="Q64" s="22">
        <f t="shared" si="63"/>
        <v>0</v>
      </c>
      <c r="R64" s="22">
        <f t="shared" si="63"/>
        <v>0</v>
      </c>
      <c r="S64" s="22">
        <f t="shared" si="63"/>
        <v>0</v>
      </c>
      <c r="T64" s="22">
        <f t="shared" si="63"/>
        <v>0</v>
      </c>
      <c r="U64" s="22">
        <f t="shared" si="63"/>
        <v>0</v>
      </c>
      <c r="V64" s="22">
        <f t="shared" si="63"/>
        <v>0</v>
      </c>
      <c r="W64" s="22">
        <f t="shared" si="63"/>
        <v>0</v>
      </c>
      <c r="X64" s="22">
        <f t="shared" si="63"/>
        <v>0</v>
      </c>
      <c r="Y64" s="22">
        <f t="shared" si="63"/>
        <v>0</v>
      </c>
      <c r="Z64" s="22">
        <f t="shared" si="63"/>
        <v>0</v>
      </c>
      <c r="AA64" s="22">
        <f t="shared" si="63"/>
        <v>0</v>
      </c>
      <c r="AB64" s="22">
        <f t="shared" si="63"/>
        <v>0</v>
      </c>
      <c r="AC64" s="22">
        <f t="shared" si="63"/>
        <v>0</v>
      </c>
      <c r="AD64" s="22">
        <f t="shared" si="63"/>
        <v>0</v>
      </c>
      <c r="AE64" s="22">
        <f t="shared" si="63"/>
        <v>0</v>
      </c>
      <c r="AF64" s="22">
        <f t="shared" si="63"/>
        <v>0</v>
      </c>
      <c r="AG64" s="22">
        <f t="shared" si="63"/>
        <v>0</v>
      </c>
      <c r="AH64" s="22">
        <f t="shared" si="63"/>
        <v>0</v>
      </c>
      <c r="AI64" s="22">
        <f t="shared" si="63"/>
        <v>0</v>
      </c>
      <c r="AJ64" s="22">
        <f t="shared" si="63"/>
        <v>0</v>
      </c>
      <c r="AK64" s="22">
        <f t="shared" si="63"/>
        <v>0</v>
      </c>
      <c r="AL64" s="22">
        <f t="shared" si="63"/>
        <v>0</v>
      </c>
      <c r="AM64" s="22">
        <f t="shared" si="63"/>
        <v>0</v>
      </c>
      <c r="AN64" s="22">
        <f t="shared" si="63"/>
        <v>0</v>
      </c>
      <c r="AO64" s="22">
        <f t="shared" ref="AO64:AQ64" si="64">SUM(AO55:AO63)</f>
        <v>0</v>
      </c>
      <c r="AP64" s="22">
        <f t="shared" si="64"/>
        <v>0</v>
      </c>
      <c r="AQ64" s="22">
        <f t="shared" si="64"/>
        <v>0</v>
      </c>
    </row>
    <row r="65" spans="1:43" s="44" customFormat="1" ht="25.15" customHeight="1" x14ac:dyDescent="0.5">
      <c r="A65" s="45"/>
      <c r="B65" s="242" t="s">
        <v>49</v>
      </c>
      <c r="C65" s="243"/>
      <c r="D65" s="244"/>
      <c r="E65" s="38">
        <f t="shared" ref="E65:F65" si="65">E53+E64</f>
        <v>1190</v>
      </c>
      <c r="F65" s="38">
        <f t="shared" si="65"/>
        <v>16350</v>
      </c>
      <c r="G65" s="38">
        <f>G53+G64</f>
        <v>12450</v>
      </c>
      <c r="H65" s="38">
        <f t="shared" ref="H65" si="66">H53+H64</f>
        <v>730</v>
      </c>
      <c r="I65" s="38"/>
      <c r="J65" s="37">
        <f t="shared" ref="J65:K65" si="67">J53+J64</f>
        <v>7560</v>
      </c>
      <c r="K65" s="38">
        <f t="shared" si="67"/>
        <v>1995</v>
      </c>
      <c r="L65" s="38"/>
      <c r="M65" s="37">
        <f t="shared" ref="M65:N65" si="68">M53+M64</f>
        <v>20108.400000000001</v>
      </c>
      <c r="N65" s="38">
        <f t="shared" si="68"/>
        <v>595</v>
      </c>
      <c r="O65" s="38"/>
      <c r="P65" s="37">
        <f t="shared" ref="P65:R65" si="69">P53+P64</f>
        <v>6145.6</v>
      </c>
      <c r="Q65" s="38">
        <f t="shared" si="69"/>
        <v>831</v>
      </c>
      <c r="R65" s="38">
        <f t="shared" si="69"/>
        <v>12154</v>
      </c>
      <c r="S65" s="37">
        <f t="shared" ref="S65:U65" si="70">S53+S64</f>
        <v>8842.56</v>
      </c>
      <c r="T65" s="38">
        <f t="shared" si="70"/>
        <v>1505</v>
      </c>
      <c r="U65" s="38">
        <f t="shared" si="70"/>
        <v>21076</v>
      </c>
      <c r="V65" s="37">
        <f t="shared" ref="V65:X65" si="71">V53+V64</f>
        <v>15676.079999999998</v>
      </c>
      <c r="W65" s="38">
        <f t="shared" si="71"/>
        <v>1162</v>
      </c>
      <c r="X65" s="38">
        <f t="shared" si="71"/>
        <v>16294</v>
      </c>
      <c r="Y65" s="37">
        <f t="shared" ref="Y65:Z65" si="72">Y53+Y64</f>
        <v>12134</v>
      </c>
      <c r="Z65" s="38">
        <f t="shared" si="72"/>
        <v>875</v>
      </c>
      <c r="AA65" s="38"/>
      <c r="AB65" s="37">
        <f t="shared" ref="AB65:AC65" si="73">AB53+AB64</f>
        <v>9197.1999999999989</v>
      </c>
      <c r="AC65" s="38">
        <f t="shared" si="73"/>
        <v>1248</v>
      </c>
      <c r="AD65" s="38"/>
      <c r="AE65" s="37">
        <f t="shared" ref="AE65:AF65" si="74">AE53+AE64</f>
        <v>12421.599999999999</v>
      </c>
      <c r="AF65" s="38">
        <f t="shared" si="74"/>
        <v>1135</v>
      </c>
      <c r="AG65" s="38"/>
      <c r="AH65" s="37">
        <f t="shared" ref="AH65:AI65" si="75">AH53+AH64</f>
        <v>11460.8</v>
      </c>
      <c r="AI65" s="38">
        <f t="shared" si="75"/>
        <v>1320</v>
      </c>
      <c r="AJ65" s="38"/>
      <c r="AK65" s="37">
        <f t="shared" ref="AK65:AL65" si="76">AK53+AK64</f>
        <v>13928.4</v>
      </c>
      <c r="AL65" s="38">
        <f t="shared" si="76"/>
        <v>782</v>
      </c>
      <c r="AM65" s="38"/>
      <c r="AN65" s="37">
        <f t="shared" ref="AN65:AO65" si="77">AN53+AN64</f>
        <v>8218.4</v>
      </c>
      <c r="AO65" s="38">
        <f t="shared" si="77"/>
        <v>0</v>
      </c>
      <c r="AP65" s="38"/>
      <c r="AQ65" s="37">
        <f t="shared" ref="AQ65" si="78">AQ53+AQ64</f>
        <v>0</v>
      </c>
    </row>
    <row r="67" spans="1:43" x14ac:dyDescent="0.5">
      <c r="F67" s="53"/>
      <c r="G67" s="53"/>
    </row>
    <row r="68" spans="1:43" ht="25.15" customHeight="1" x14ac:dyDescent="0.7">
      <c r="B68" s="67" t="s">
        <v>155</v>
      </c>
    </row>
    <row r="69" spans="1:43" ht="15" customHeight="1" x14ac:dyDescent="0.5"/>
    <row r="70" spans="1:43" ht="42.75" customHeight="1" x14ac:dyDescent="0.6">
      <c r="A70" s="252" t="s">
        <v>52</v>
      </c>
      <c r="B70" s="252" t="s">
        <v>51</v>
      </c>
      <c r="C70" s="254" t="s">
        <v>117</v>
      </c>
      <c r="D70" s="254" t="s">
        <v>95</v>
      </c>
      <c r="E70" s="249" t="s">
        <v>114</v>
      </c>
      <c r="F70" s="250"/>
      <c r="G70" s="251"/>
      <c r="H70" s="249" t="s">
        <v>58</v>
      </c>
      <c r="I70" s="250"/>
      <c r="J70" s="251"/>
      <c r="K70" s="236" t="s">
        <v>59</v>
      </c>
      <c r="L70" s="237"/>
      <c r="M70" s="238"/>
      <c r="N70" s="236" t="s">
        <v>60</v>
      </c>
      <c r="O70" s="237"/>
      <c r="P70" s="238"/>
      <c r="Q70" s="236" t="s">
        <v>61</v>
      </c>
      <c r="R70" s="237"/>
      <c r="S70" s="238"/>
      <c r="T70" s="236" t="s">
        <v>62</v>
      </c>
      <c r="U70" s="237"/>
      <c r="V70" s="238"/>
      <c r="W70" s="236" t="s">
        <v>63</v>
      </c>
      <c r="X70" s="237"/>
      <c r="Y70" s="238"/>
      <c r="Z70" s="236" t="s">
        <v>64</v>
      </c>
      <c r="AA70" s="237"/>
      <c r="AB70" s="238"/>
      <c r="AC70" s="236" t="s">
        <v>65</v>
      </c>
      <c r="AD70" s="237"/>
      <c r="AE70" s="238"/>
      <c r="AF70" s="236" t="s">
        <v>18</v>
      </c>
      <c r="AG70" s="237"/>
      <c r="AH70" s="238"/>
      <c r="AI70" s="236" t="s">
        <v>17</v>
      </c>
      <c r="AJ70" s="237"/>
      <c r="AK70" s="238"/>
      <c r="AL70" s="236" t="s">
        <v>16</v>
      </c>
      <c r="AM70" s="237"/>
      <c r="AN70" s="238"/>
      <c r="AO70" s="236" t="s">
        <v>129</v>
      </c>
      <c r="AP70" s="237"/>
      <c r="AQ70" s="238"/>
    </row>
    <row r="71" spans="1:43" ht="25.15" customHeight="1" x14ac:dyDescent="0.5">
      <c r="A71" s="253"/>
      <c r="B71" s="253"/>
      <c r="C71" s="255"/>
      <c r="D71" s="255"/>
      <c r="E71" s="66" t="s">
        <v>50</v>
      </c>
      <c r="F71" s="66" t="s">
        <v>56</v>
      </c>
      <c r="G71" s="66" t="s">
        <v>93</v>
      </c>
      <c r="H71" s="66" t="s">
        <v>50</v>
      </c>
      <c r="I71" s="66" t="s">
        <v>56</v>
      </c>
      <c r="J71" s="66" t="s">
        <v>57</v>
      </c>
      <c r="K71" s="40" t="s">
        <v>50</v>
      </c>
      <c r="L71" s="40" t="s">
        <v>56</v>
      </c>
      <c r="M71" s="40" t="s">
        <v>57</v>
      </c>
      <c r="N71" s="40" t="s">
        <v>50</v>
      </c>
      <c r="O71" s="40" t="s">
        <v>56</v>
      </c>
      <c r="P71" s="40" t="s">
        <v>57</v>
      </c>
      <c r="Q71" s="40" t="s">
        <v>50</v>
      </c>
      <c r="R71" s="40" t="s">
        <v>56</v>
      </c>
      <c r="S71" s="40" t="s">
        <v>57</v>
      </c>
      <c r="T71" s="40" t="s">
        <v>50</v>
      </c>
      <c r="U71" s="40" t="s">
        <v>56</v>
      </c>
      <c r="V71" s="40" t="s">
        <v>57</v>
      </c>
      <c r="W71" s="40" t="s">
        <v>50</v>
      </c>
      <c r="X71" s="40" t="s">
        <v>56</v>
      </c>
      <c r="Y71" s="40" t="s">
        <v>57</v>
      </c>
      <c r="Z71" s="40" t="s">
        <v>50</v>
      </c>
      <c r="AA71" s="40" t="s">
        <v>56</v>
      </c>
      <c r="AB71" s="40" t="s">
        <v>57</v>
      </c>
      <c r="AC71" s="40" t="s">
        <v>50</v>
      </c>
      <c r="AD71" s="40" t="s">
        <v>56</v>
      </c>
      <c r="AE71" s="40" t="s">
        <v>57</v>
      </c>
      <c r="AF71" s="40" t="s">
        <v>50</v>
      </c>
      <c r="AG71" s="40" t="s">
        <v>56</v>
      </c>
      <c r="AH71" s="40" t="s">
        <v>57</v>
      </c>
      <c r="AI71" s="40" t="s">
        <v>50</v>
      </c>
      <c r="AJ71" s="40" t="s">
        <v>56</v>
      </c>
      <c r="AK71" s="40" t="s">
        <v>57</v>
      </c>
      <c r="AL71" s="40" t="s">
        <v>50</v>
      </c>
      <c r="AM71" s="40" t="s">
        <v>56</v>
      </c>
      <c r="AN71" s="40" t="s">
        <v>57</v>
      </c>
      <c r="AO71" s="40" t="s">
        <v>50</v>
      </c>
      <c r="AP71" s="40" t="s">
        <v>56</v>
      </c>
      <c r="AQ71" s="40" t="s">
        <v>57</v>
      </c>
    </row>
    <row r="72" spans="1:43" s="43" customFormat="1" ht="20.100000000000001" hidden="1" customHeight="1" x14ac:dyDescent="0.5">
      <c r="A72" s="28">
        <v>1</v>
      </c>
      <c r="B72" s="1" t="s">
        <v>67</v>
      </c>
      <c r="C72" s="34">
        <v>0.7</v>
      </c>
      <c r="D72" s="34" t="s">
        <v>96</v>
      </c>
      <c r="E72" s="29"/>
      <c r="F72" s="29"/>
      <c r="G72" s="29">
        <f>F72*C72</f>
        <v>0</v>
      </c>
      <c r="H72" s="29"/>
      <c r="I72" s="29"/>
      <c r="J72" s="29"/>
      <c r="K72" s="29"/>
      <c r="L72" s="29"/>
      <c r="M72" s="29">
        <f>L72*C72</f>
        <v>0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s="43" customFormat="1" ht="20.100000000000001" customHeight="1" x14ac:dyDescent="0.5">
      <c r="A73" s="28">
        <v>2</v>
      </c>
      <c r="B73" s="1" t="s">
        <v>118</v>
      </c>
      <c r="C73" s="34">
        <v>0.64</v>
      </c>
      <c r="D73" s="34" t="s">
        <v>119</v>
      </c>
      <c r="E73" s="29"/>
      <c r="F73" s="29"/>
      <c r="G73" s="29"/>
      <c r="H73" s="29">
        <v>20</v>
      </c>
      <c r="I73" s="29">
        <v>280</v>
      </c>
      <c r="J73" s="29">
        <v>179.20000000000002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ht="20.100000000000001" customHeight="1" x14ac:dyDescent="0.5">
      <c r="A74" s="28">
        <v>3</v>
      </c>
      <c r="B74" s="1" t="s">
        <v>69</v>
      </c>
      <c r="C74" s="30">
        <v>1</v>
      </c>
      <c r="D74" s="30" t="s">
        <v>96</v>
      </c>
      <c r="E74" s="95">
        <v>310</v>
      </c>
      <c r="F74" s="95">
        <v>3720</v>
      </c>
      <c r="G74" s="95">
        <v>3720</v>
      </c>
      <c r="H74" s="28">
        <v>220</v>
      </c>
      <c r="I74" s="28">
        <v>2640</v>
      </c>
      <c r="J74" s="28">
        <v>2640</v>
      </c>
      <c r="K74" s="28"/>
      <c r="L74" s="28"/>
      <c r="M74" s="29"/>
      <c r="N74" s="28"/>
      <c r="O74" s="28"/>
      <c r="P74" s="29"/>
      <c r="Q74" s="28"/>
      <c r="R74" s="28"/>
      <c r="S74" s="29"/>
      <c r="T74" s="28"/>
      <c r="U74" s="28"/>
      <c r="V74" s="29"/>
      <c r="W74" s="28"/>
      <c r="X74" s="28"/>
      <c r="Y74" s="29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</row>
    <row r="75" spans="1:43" ht="20.100000000000001" customHeight="1" x14ac:dyDescent="0.5">
      <c r="A75" s="28">
        <v>4</v>
      </c>
      <c r="B75" s="1" t="s">
        <v>71</v>
      </c>
      <c r="C75" s="30">
        <v>0.35</v>
      </c>
      <c r="D75" s="30" t="s">
        <v>97</v>
      </c>
      <c r="E75" s="95">
        <v>20</v>
      </c>
      <c r="F75" s="95">
        <v>800</v>
      </c>
      <c r="G75" s="95">
        <v>280</v>
      </c>
      <c r="H75" s="28">
        <v>10</v>
      </c>
      <c r="I75" s="28">
        <v>400</v>
      </c>
      <c r="J75" s="28">
        <v>140</v>
      </c>
      <c r="K75" s="28"/>
      <c r="L75" s="28"/>
      <c r="M75" s="29"/>
      <c r="N75" s="28"/>
      <c r="O75" s="28"/>
      <c r="P75" s="29"/>
      <c r="Q75" s="28"/>
      <c r="R75" s="28"/>
      <c r="S75" s="29"/>
      <c r="T75" s="28"/>
      <c r="U75" s="28"/>
      <c r="V75" s="29"/>
      <c r="W75" s="28"/>
      <c r="X75" s="28"/>
      <c r="Y75" s="29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</row>
    <row r="76" spans="1:43" ht="20.100000000000001" customHeight="1" x14ac:dyDescent="0.5">
      <c r="A76" s="28">
        <v>5</v>
      </c>
      <c r="B76" s="1" t="s">
        <v>73</v>
      </c>
      <c r="C76" s="30">
        <v>0.64</v>
      </c>
      <c r="D76" s="30" t="s">
        <v>99</v>
      </c>
      <c r="E76" s="28"/>
      <c r="F76" s="28"/>
      <c r="G76" s="29"/>
      <c r="H76" s="28"/>
      <c r="I76" s="28"/>
      <c r="J76" s="28"/>
      <c r="K76" s="28"/>
      <c r="L76" s="28"/>
      <c r="M76" s="29"/>
      <c r="N76" s="28"/>
      <c r="O76" s="28"/>
      <c r="P76" s="29"/>
      <c r="Q76" s="28"/>
      <c r="R76" s="28"/>
      <c r="S76" s="29"/>
      <c r="T76" s="28"/>
      <c r="U76" s="28"/>
      <c r="V76" s="29"/>
      <c r="W76" s="28"/>
      <c r="X76" s="28"/>
      <c r="Y76" s="29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</row>
    <row r="77" spans="1:43" ht="20.100000000000001" customHeight="1" x14ac:dyDescent="0.5">
      <c r="A77" s="28">
        <v>6</v>
      </c>
      <c r="B77" s="1" t="s">
        <v>80</v>
      </c>
      <c r="C77" s="30">
        <v>0.64</v>
      </c>
      <c r="D77" s="30" t="s">
        <v>99</v>
      </c>
      <c r="E77" s="28">
        <v>200</v>
      </c>
      <c r="F77" s="28">
        <v>2800</v>
      </c>
      <c r="G77" s="29">
        <v>1792</v>
      </c>
      <c r="H77" s="28">
        <v>200</v>
      </c>
      <c r="I77" s="28">
        <v>2800</v>
      </c>
      <c r="J77" s="28">
        <v>1792</v>
      </c>
      <c r="K77" s="28"/>
      <c r="L77" s="28"/>
      <c r="M77" s="29"/>
      <c r="N77" s="28"/>
      <c r="O77" s="28"/>
      <c r="P77" s="29"/>
      <c r="Q77" s="28"/>
      <c r="R77" s="28"/>
      <c r="S77" s="29"/>
      <c r="T77" s="28"/>
      <c r="U77" s="28"/>
      <c r="V77" s="29"/>
      <c r="W77" s="28"/>
      <c r="X77" s="28"/>
      <c r="Y77" s="29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</row>
    <row r="78" spans="1:43" ht="20.100000000000001" customHeight="1" x14ac:dyDescent="0.5">
      <c r="A78" s="28">
        <v>7</v>
      </c>
      <c r="B78" s="1" t="s">
        <v>146</v>
      </c>
      <c r="C78" s="30">
        <v>1</v>
      </c>
      <c r="D78" s="30"/>
      <c r="E78" s="28"/>
      <c r="F78" s="28"/>
      <c r="G78" s="29"/>
      <c r="H78" s="28">
        <v>1</v>
      </c>
      <c r="I78" s="28">
        <v>12</v>
      </c>
      <c r="J78" s="28">
        <v>12</v>
      </c>
      <c r="K78" s="28"/>
      <c r="L78" s="28"/>
      <c r="M78" s="29"/>
      <c r="N78" s="28"/>
      <c r="O78" s="28"/>
      <c r="P78" s="29"/>
      <c r="Q78" s="28"/>
      <c r="R78" s="28"/>
      <c r="S78" s="29"/>
      <c r="T78" s="28"/>
      <c r="U78" s="28"/>
      <c r="V78" s="29"/>
      <c r="W78" s="28"/>
      <c r="X78" s="28"/>
      <c r="Y78" s="29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</row>
    <row r="79" spans="1:43" ht="20.100000000000001" customHeight="1" x14ac:dyDescent="0.5">
      <c r="A79" s="28">
        <v>8</v>
      </c>
      <c r="B79" s="1" t="s">
        <v>147</v>
      </c>
      <c r="C79" s="30">
        <v>1</v>
      </c>
      <c r="D79" s="30"/>
      <c r="E79" s="28">
        <v>10</v>
      </c>
      <c r="F79" s="28">
        <v>120</v>
      </c>
      <c r="G79" s="29">
        <v>120</v>
      </c>
      <c r="H79" s="28">
        <v>2</v>
      </c>
      <c r="I79" s="28">
        <v>24</v>
      </c>
      <c r="J79" s="28">
        <v>24</v>
      </c>
      <c r="K79" s="28"/>
      <c r="L79" s="28"/>
      <c r="M79" s="29"/>
      <c r="N79" s="28"/>
      <c r="O79" s="28"/>
      <c r="P79" s="29"/>
      <c r="Q79" s="28"/>
      <c r="R79" s="28"/>
      <c r="S79" s="29"/>
      <c r="T79" s="28"/>
      <c r="U79" s="28"/>
      <c r="V79" s="29"/>
      <c r="W79" s="28"/>
      <c r="X79" s="28"/>
      <c r="Y79" s="29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</row>
    <row r="80" spans="1:43" ht="20.100000000000001" customHeight="1" x14ac:dyDescent="0.5">
      <c r="A80" s="28">
        <v>9</v>
      </c>
      <c r="B80" s="1" t="s">
        <v>83</v>
      </c>
      <c r="C80" s="30">
        <v>1</v>
      </c>
      <c r="D80" s="30" t="s">
        <v>96</v>
      </c>
      <c r="E80" s="28">
        <v>270</v>
      </c>
      <c r="F80" s="28">
        <v>3240</v>
      </c>
      <c r="G80" s="29">
        <v>3240</v>
      </c>
      <c r="H80" s="28">
        <v>225</v>
      </c>
      <c r="I80" s="28">
        <v>2700</v>
      </c>
      <c r="J80" s="28">
        <v>2700</v>
      </c>
      <c r="K80" s="28"/>
      <c r="L80" s="28"/>
      <c r="M80" s="29"/>
      <c r="N80" s="28"/>
      <c r="O80" s="28"/>
      <c r="P80" s="29"/>
      <c r="Q80" s="28"/>
      <c r="R80" s="28"/>
      <c r="S80" s="29"/>
      <c r="T80" s="28"/>
      <c r="U80" s="28"/>
      <c r="V80" s="29"/>
      <c r="W80" s="28"/>
      <c r="X80" s="28"/>
      <c r="Y80" s="29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</row>
    <row r="81" spans="1:43" ht="20.100000000000001" customHeight="1" x14ac:dyDescent="0.5">
      <c r="A81" s="28">
        <v>10</v>
      </c>
      <c r="B81" s="1" t="s">
        <v>88</v>
      </c>
      <c r="C81" s="30">
        <v>0.64</v>
      </c>
      <c r="D81" s="30" t="s">
        <v>99</v>
      </c>
      <c r="E81" s="28">
        <v>430</v>
      </c>
      <c r="F81" s="28">
        <v>6020</v>
      </c>
      <c r="G81" s="29">
        <v>3852.8</v>
      </c>
      <c r="H81" s="28">
        <v>325</v>
      </c>
      <c r="I81" s="28">
        <v>4550</v>
      </c>
      <c r="J81" s="28">
        <v>2912</v>
      </c>
      <c r="K81" s="28"/>
      <c r="L81" s="28"/>
      <c r="M81" s="29"/>
      <c r="N81" s="28"/>
      <c r="O81" s="28"/>
      <c r="P81" s="29"/>
      <c r="Q81" s="28"/>
      <c r="R81" s="28"/>
      <c r="S81" s="29"/>
      <c r="T81" s="28"/>
      <c r="U81" s="28"/>
      <c r="V81" s="29"/>
      <c r="W81" s="28"/>
      <c r="X81" s="28"/>
      <c r="Y81" s="29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</row>
    <row r="82" spans="1:43" ht="20.100000000000001" customHeight="1" x14ac:dyDescent="0.5">
      <c r="A82" s="28">
        <v>11</v>
      </c>
      <c r="B82" s="1" t="s">
        <v>9</v>
      </c>
      <c r="C82" s="30">
        <v>0.64</v>
      </c>
      <c r="D82" s="30" t="s">
        <v>119</v>
      </c>
      <c r="E82" s="57"/>
      <c r="F82" s="57"/>
      <c r="G82" s="29"/>
      <c r="H82" s="57"/>
      <c r="I82" s="57"/>
      <c r="J82" s="28"/>
      <c r="K82" s="57"/>
      <c r="L82" s="57"/>
      <c r="M82" s="29"/>
      <c r="N82" s="57"/>
      <c r="O82" s="57"/>
      <c r="P82" s="29"/>
      <c r="Q82" s="57"/>
      <c r="R82" s="57"/>
      <c r="S82" s="29"/>
      <c r="T82" s="57"/>
      <c r="U82" s="57"/>
      <c r="V82" s="29"/>
      <c r="W82" s="57"/>
      <c r="X82" s="57"/>
      <c r="Y82" s="29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</row>
    <row r="83" spans="1:43" ht="20.100000000000001" customHeight="1" x14ac:dyDescent="0.5">
      <c r="A83" s="28">
        <v>12</v>
      </c>
      <c r="B83" s="30" t="s">
        <v>92</v>
      </c>
      <c r="C83" s="30">
        <v>0.64</v>
      </c>
      <c r="D83" s="30" t="s">
        <v>98</v>
      </c>
      <c r="E83" s="57"/>
      <c r="F83" s="57"/>
      <c r="G83" s="29"/>
      <c r="H83" s="57"/>
      <c r="I83" s="57"/>
      <c r="J83" s="28"/>
      <c r="K83" s="57"/>
      <c r="L83" s="57"/>
      <c r="M83" s="29"/>
      <c r="N83" s="57"/>
      <c r="O83" s="57"/>
      <c r="P83" s="29"/>
      <c r="Q83" s="57"/>
      <c r="R83" s="57"/>
      <c r="S83" s="29"/>
      <c r="T83" s="57"/>
      <c r="U83" s="57"/>
      <c r="V83" s="29"/>
      <c r="W83" s="57"/>
      <c r="X83" s="57"/>
      <c r="Y83" s="29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</row>
    <row r="84" spans="1:43" ht="20.100000000000001" customHeight="1" x14ac:dyDescent="0.5">
      <c r="A84" s="28">
        <v>13</v>
      </c>
      <c r="B84" s="30" t="s">
        <v>92</v>
      </c>
      <c r="C84" s="30">
        <v>1</v>
      </c>
      <c r="D84" s="30" t="s">
        <v>135</v>
      </c>
      <c r="E84" s="57">
        <v>150</v>
      </c>
      <c r="F84" s="57">
        <v>1800</v>
      </c>
      <c r="G84" s="29">
        <v>1800</v>
      </c>
      <c r="H84" s="57"/>
      <c r="I84" s="57"/>
      <c r="J84" s="28"/>
      <c r="K84" s="57"/>
      <c r="L84" s="57"/>
      <c r="M84" s="29"/>
      <c r="N84" s="57"/>
      <c r="O84" s="57"/>
      <c r="P84" s="29"/>
      <c r="Q84" s="57"/>
      <c r="R84" s="57"/>
      <c r="S84" s="29"/>
      <c r="T84" s="57"/>
      <c r="U84" s="57"/>
      <c r="V84" s="29"/>
      <c r="W84" s="57"/>
      <c r="X84" s="57"/>
      <c r="Y84" s="29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</row>
    <row r="85" spans="1:43" ht="20.100000000000001" customHeight="1" x14ac:dyDescent="0.5">
      <c r="A85" s="28">
        <v>14</v>
      </c>
      <c r="B85" s="30" t="s">
        <v>149</v>
      </c>
      <c r="C85" s="30">
        <v>0.64</v>
      </c>
      <c r="D85" s="30" t="s">
        <v>119</v>
      </c>
      <c r="E85" s="57">
        <v>4</v>
      </c>
      <c r="F85" s="57">
        <v>56</v>
      </c>
      <c r="G85" s="29">
        <v>35.840000000000003</v>
      </c>
      <c r="H85" s="57"/>
      <c r="I85" s="57"/>
      <c r="J85" s="28"/>
      <c r="K85" s="57"/>
      <c r="L85" s="57"/>
      <c r="M85" s="29"/>
      <c r="N85" s="57"/>
      <c r="O85" s="57"/>
      <c r="P85" s="29"/>
      <c r="Q85" s="57"/>
      <c r="R85" s="57"/>
      <c r="S85" s="29"/>
      <c r="T85" s="57"/>
      <c r="U85" s="57"/>
      <c r="V85" s="29"/>
      <c r="W85" s="57"/>
      <c r="X85" s="57"/>
      <c r="Y85" s="29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</row>
    <row r="86" spans="1:43" ht="25.15" customHeight="1" x14ac:dyDescent="0.5">
      <c r="A86" s="28">
        <v>15</v>
      </c>
      <c r="B86" s="30" t="s">
        <v>8</v>
      </c>
      <c r="C86" s="1">
        <v>0.7</v>
      </c>
      <c r="D86" s="1" t="s">
        <v>96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</row>
    <row r="87" spans="1:43" ht="25.15" customHeight="1" x14ac:dyDescent="0.5">
      <c r="A87" s="28">
        <v>16</v>
      </c>
      <c r="B87" s="30" t="s">
        <v>7</v>
      </c>
      <c r="C87" s="1">
        <v>0.35</v>
      </c>
      <c r="D87" s="1" t="s">
        <v>98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</row>
    <row r="88" spans="1:43" s="41" customFormat="1" ht="24" customHeight="1" x14ac:dyDescent="0.5">
      <c r="A88" s="24"/>
      <c r="B88" s="239" t="s">
        <v>10</v>
      </c>
      <c r="C88" s="240"/>
      <c r="D88" s="241"/>
      <c r="E88" s="22">
        <f>SUM(E72:E87)</f>
        <v>1394</v>
      </c>
      <c r="F88" s="22">
        <f t="shared" ref="F88:R88" si="79">SUM(F72:F87)</f>
        <v>18556</v>
      </c>
      <c r="G88" s="22">
        <f t="shared" si="79"/>
        <v>14840.64</v>
      </c>
      <c r="H88" s="22">
        <f t="shared" si="79"/>
        <v>1003</v>
      </c>
      <c r="I88" s="22">
        <f t="shared" si="79"/>
        <v>13406</v>
      </c>
      <c r="J88" s="22">
        <f t="shared" si="79"/>
        <v>10399.200000000001</v>
      </c>
      <c r="K88" s="22">
        <f t="shared" si="79"/>
        <v>0</v>
      </c>
      <c r="L88" s="22">
        <f t="shared" si="79"/>
        <v>0</v>
      </c>
      <c r="M88" s="22">
        <f t="shared" si="79"/>
        <v>0</v>
      </c>
      <c r="N88" s="22">
        <f t="shared" si="79"/>
        <v>0</v>
      </c>
      <c r="O88" s="22">
        <f t="shared" si="79"/>
        <v>0</v>
      </c>
      <c r="P88" s="22">
        <f t="shared" si="79"/>
        <v>0</v>
      </c>
      <c r="Q88" s="22">
        <f t="shared" si="79"/>
        <v>0</v>
      </c>
      <c r="R88" s="22">
        <f t="shared" si="79"/>
        <v>0</v>
      </c>
      <c r="S88" s="22">
        <f>SUM(S72:S83)</f>
        <v>0</v>
      </c>
      <c r="T88" s="22">
        <f>SUM(T72:T87)</f>
        <v>0</v>
      </c>
      <c r="U88" s="22">
        <f t="shared" ref="U88:V88" si="80">SUM(U72:U87)</f>
        <v>0</v>
      </c>
      <c r="V88" s="22">
        <f t="shared" si="80"/>
        <v>0</v>
      </c>
      <c r="W88" s="22">
        <f>SUM(W72:W87)</f>
        <v>0</v>
      </c>
      <c r="X88" s="22">
        <f t="shared" ref="X88:Y88" si="81">SUM(X72:X87)</f>
        <v>0</v>
      </c>
      <c r="Y88" s="22">
        <f t="shared" si="81"/>
        <v>0</v>
      </c>
      <c r="Z88" s="22">
        <f t="shared" ref="Z88:AE88" si="82">SUM(Z72:Z83)</f>
        <v>0</v>
      </c>
      <c r="AA88" s="22">
        <f t="shared" si="82"/>
        <v>0</v>
      </c>
      <c r="AB88" s="22">
        <f t="shared" si="82"/>
        <v>0</v>
      </c>
      <c r="AC88" s="22">
        <f t="shared" si="82"/>
        <v>0</v>
      </c>
      <c r="AD88" s="22">
        <f t="shared" si="82"/>
        <v>0</v>
      </c>
      <c r="AE88" s="22">
        <f t="shared" si="82"/>
        <v>0</v>
      </c>
      <c r="AF88" s="22">
        <f>SUM(AF72:AF87)</f>
        <v>0</v>
      </c>
      <c r="AG88" s="22">
        <f t="shared" ref="AG88:AH88" si="83">SUM(AG72:AG87)</f>
        <v>0</v>
      </c>
      <c r="AH88" s="22">
        <f t="shared" si="83"/>
        <v>0</v>
      </c>
      <c r="AI88" s="22">
        <f>SUM(AI72:AI87)</f>
        <v>0</v>
      </c>
      <c r="AJ88" s="22">
        <f t="shared" ref="AJ88:AK88" si="84">SUM(AJ72:AJ87)</f>
        <v>0</v>
      </c>
      <c r="AK88" s="22">
        <f t="shared" si="84"/>
        <v>0</v>
      </c>
      <c r="AL88" s="22">
        <f t="shared" ref="AL88:AQ88" si="85">SUM(AL72:AL83)</f>
        <v>0</v>
      </c>
      <c r="AM88" s="22">
        <f t="shared" si="85"/>
        <v>0</v>
      </c>
      <c r="AN88" s="22">
        <f t="shared" si="85"/>
        <v>0</v>
      </c>
      <c r="AO88" s="22">
        <f t="shared" si="85"/>
        <v>0</v>
      </c>
      <c r="AP88" s="22">
        <f t="shared" si="85"/>
        <v>0</v>
      </c>
      <c r="AQ88" s="22">
        <f t="shared" si="85"/>
        <v>0</v>
      </c>
    </row>
    <row r="89" spans="1:43" ht="24" customHeight="1" x14ac:dyDescent="0.5">
      <c r="A89" s="39"/>
      <c r="B89" s="30"/>
      <c r="C89" s="30"/>
      <c r="D89" s="30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1:43" ht="25.15" customHeight="1" x14ac:dyDescent="0.5">
      <c r="A90" s="39">
        <v>1</v>
      </c>
      <c r="B90" s="30" t="s">
        <v>6</v>
      </c>
      <c r="C90" s="1">
        <v>0.7</v>
      </c>
      <c r="D90" s="1" t="s">
        <v>96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>
        <f>X90*C90</f>
        <v>0</v>
      </c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</row>
    <row r="91" spans="1:43" ht="25.15" customHeight="1" x14ac:dyDescent="0.5">
      <c r="A91" s="39">
        <v>2</v>
      </c>
      <c r="B91" s="30" t="s">
        <v>5</v>
      </c>
      <c r="C91" s="1">
        <v>0.35</v>
      </c>
      <c r="D91" s="1" t="s">
        <v>98</v>
      </c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>
        <f t="shared" ref="Y91:Y98" si="86">X91*C91</f>
        <v>0</v>
      </c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</row>
    <row r="92" spans="1:43" ht="25.15" customHeight="1" x14ac:dyDescent="0.5">
      <c r="A92" s="39">
        <v>3</v>
      </c>
      <c r="B92" s="30" t="s">
        <v>4</v>
      </c>
      <c r="C92" s="1">
        <v>0.17499999999999999</v>
      </c>
      <c r="D92" s="1" t="s">
        <v>100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>
        <f t="shared" si="86"/>
        <v>0</v>
      </c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</row>
    <row r="93" spans="1:43" ht="25.15" customHeight="1" x14ac:dyDescent="0.5">
      <c r="A93" s="39">
        <v>4</v>
      </c>
      <c r="B93" s="30" t="s">
        <v>3</v>
      </c>
      <c r="C93" s="1">
        <v>0.7</v>
      </c>
      <c r="D93" s="1" t="s">
        <v>96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>
        <f t="shared" si="86"/>
        <v>0</v>
      </c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</row>
    <row r="94" spans="1:43" ht="25.15" customHeight="1" x14ac:dyDescent="0.5">
      <c r="A94" s="39">
        <v>5</v>
      </c>
      <c r="B94" s="30" t="s">
        <v>2</v>
      </c>
      <c r="C94" s="1">
        <v>0.35</v>
      </c>
      <c r="D94" s="1" t="s">
        <v>98</v>
      </c>
      <c r="E94" s="29"/>
      <c r="F94" s="29"/>
      <c r="G94" s="29">
        <f>F94*C94</f>
        <v>0</v>
      </c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>
        <f t="shared" si="86"/>
        <v>0</v>
      </c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</row>
    <row r="95" spans="1:43" ht="25.15" customHeight="1" x14ac:dyDescent="0.5">
      <c r="A95" s="39">
        <v>6</v>
      </c>
      <c r="B95" s="30" t="s">
        <v>1</v>
      </c>
      <c r="C95" s="1">
        <v>0.17499999999999999</v>
      </c>
      <c r="D95" s="1" t="s">
        <v>100</v>
      </c>
      <c r="E95" s="29"/>
      <c r="F95" s="29"/>
      <c r="G95" s="29">
        <f t="shared" ref="G95:G97" si="87">F95*C95</f>
        <v>0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>
        <f t="shared" si="86"/>
        <v>0</v>
      </c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</row>
    <row r="96" spans="1:43" ht="25.15" customHeight="1" x14ac:dyDescent="0.5">
      <c r="A96" s="39">
        <v>7</v>
      </c>
      <c r="B96" s="30" t="s">
        <v>0</v>
      </c>
      <c r="C96" s="1">
        <v>0.7</v>
      </c>
      <c r="D96" s="1" t="s">
        <v>96</v>
      </c>
      <c r="E96" s="29"/>
      <c r="F96" s="29"/>
      <c r="G96" s="29">
        <f t="shared" si="87"/>
        <v>0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>
        <f t="shared" si="86"/>
        <v>0</v>
      </c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</row>
    <row r="97" spans="1:43" ht="25.15" customHeight="1" x14ac:dyDescent="0.5">
      <c r="A97" s="39">
        <v>8</v>
      </c>
      <c r="B97" s="30" t="s">
        <v>8</v>
      </c>
      <c r="C97" s="1">
        <v>0.7</v>
      </c>
      <c r="D97" s="1" t="s">
        <v>96</v>
      </c>
      <c r="E97" s="29"/>
      <c r="F97" s="29"/>
      <c r="G97" s="29">
        <f t="shared" si="87"/>
        <v>0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>
        <f t="shared" si="86"/>
        <v>0</v>
      </c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</row>
    <row r="98" spans="1:43" ht="25.15" customHeight="1" x14ac:dyDescent="0.5">
      <c r="A98" s="39">
        <v>9</v>
      </c>
      <c r="B98" s="30" t="s">
        <v>7</v>
      </c>
      <c r="C98" s="1">
        <v>0.35</v>
      </c>
      <c r="D98" s="1" t="s">
        <v>98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>
        <f t="shared" si="86"/>
        <v>0</v>
      </c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</row>
    <row r="99" spans="1:43" ht="25.15" customHeight="1" x14ac:dyDescent="0.5">
      <c r="A99" s="46"/>
      <c r="B99" s="239" t="s">
        <v>10</v>
      </c>
      <c r="C99" s="240"/>
      <c r="D99" s="241"/>
      <c r="E99" s="22">
        <f t="shared" ref="E99:F99" si="88">SUM(E90:E98)</f>
        <v>0</v>
      </c>
      <c r="F99" s="22">
        <f t="shared" si="88"/>
        <v>0</v>
      </c>
      <c r="G99" s="22">
        <f>SUM(G90:G98)</f>
        <v>0</v>
      </c>
      <c r="H99" s="22">
        <f t="shared" ref="H99:AQ99" si="89">SUM(H90:H98)</f>
        <v>0</v>
      </c>
      <c r="I99" s="22">
        <f t="shared" si="89"/>
        <v>0</v>
      </c>
      <c r="J99" s="22">
        <f t="shared" si="89"/>
        <v>0</v>
      </c>
      <c r="K99" s="22">
        <f t="shared" si="89"/>
        <v>0</v>
      </c>
      <c r="L99" s="22">
        <f t="shared" si="89"/>
        <v>0</v>
      </c>
      <c r="M99" s="22">
        <f t="shared" si="89"/>
        <v>0</v>
      </c>
      <c r="N99" s="22">
        <f t="shared" si="89"/>
        <v>0</v>
      </c>
      <c r="O99" s="22">
        <f t="shared" si="89"/>
        <v>0</v>
      </c>
      <c r="P99" s="22">
        <f t="shared" si="89"/>
        <v>0</v>
      </c>
      <c r="Q99" s="22">
        <f t="shared" si="89"/>
        <v>0</v>
      </c>
      <c r="R99" s="22">
        <f t="shared" si="89"/>
        <v>0</v>
      </c>
      <c r="S99" s="22">
        <f t="shared" si="89"/>
        <v>0</v>
      </c>
      <c r="T99" s="22">
        <f t="shared" si="89"/>
        <v>0</v>
      </c>
      <c r="U99" s="22">
        <f t="shared" si="89"/>
        <v>0</v>
      </c>
      <c r="V99" s="22">
        <f t="shared" si="89"/>
        <v>0</v>
      </c>
      <c r="W99" s="22">
        <f t="shared" si="89"/>
        <v>0</v>
      </c>
      <c r="X99" s="22">
        <f t="shared" si="89"/>
        <v>0</v>
      </c>
      <c r="Y99" s="22">
        <f t="shared" si="89"/>
        <v>0</v>
      </c>
      <c r="Z99" s="22">
        <f t="shared" si="89"/>
        <v>0</v>
      </c>
      <c r="AA99" s="22">
        <f t="shared" si="89"/>
        <v>0</v>
      </c>
      <c r="AB99" s="22">
        <f t="shared" si="89"/>
        <v>0</v>
      </c>
      <c r="AC99" s="22">
        <f t="shared" si="89"/>
        <v>0</v>
      </c>
      <c r="AD99" s="22">
        <f t="shared" si="89"/>
        <v>0</v>
      </c>
      <c r="AE99" s="22">
        <f t="shared" si="89"/>
        <v>0</v>
      </c>
      <c r="AF99" s="22">
        <f t="shared" si="89"/>
        <v>0</v>
      </c>
      <c r="AG99" s="22">
        <f t="shared" si="89"/>
        <v>0</v>
      </c>
      <c r="AH99" s="22">
        <f t="shared" si="89"/>
        <v>0</v>
      </c>
      <c r="AI99" s="22">
        <f t="shared" si="89"/>
        <v>0</v>
      </c>
      <c r="AJ99" s="22">
        <f t="shared" si="89"/>
        <v>0</v>
      </c>
      <c r="AK99" s="22">
        <f t="shared" si="89"/>
        <v>0</v>
      </c>
      <c r="AL99" s="22">
        <f t="shared" si="89"/>
        <v>0</v>
      </c>
      <c r="AM99" s="22">
        <f t="shared" si="89"/>
        <v>0</v>
      </c>
      <c r="AN99" s="22">
        <f t="shared" si="89"/>
        <v>0</v>
      </c>
      <c r="AO99" s="22">
        <f t="shared" si="89"/>
        <v>0</v>
      </c>
      <c r="AP99" s="22">
        <f t="shared" si="89"/>
        <v>0</v>
      </c>
      <c r="AQ99" s="22">
        <f t="shared" si="89"/>
        <v>0</v>
      </c>
    </row>
    <row r="100" spans="1:43" s="44" customFormat="1" ht="25.15" customHeight="1" x14ac:dyDescent="0.5">
      <c r="A100" s="45"/>
      <c r="B100" s="242" t="s">
        <v>49</v>
      </c>
      <c r="C100" s="243"/>
      <c r="D100" s="244"/>
      <c r="E100" s="38">
        <f t="shared" ref="E100:F100" si="90">E88+E99</f>
        <v>1394</v>
      </c>
      <c r="F100" s="38">
        <f t="shared" si="90"/>
        <v>18556</v>
      </c>
      <c r="G100" s="38">
        <f>G88+G99</f>
        <v>14840.64</v>
      </c>
      <c r="H100" s="38">
        <f t="shared" ref="H100" si="91">H88+H99</f>
        <v>1003</v>
      </c>
      <c r="I100" s="38"/>
      <c r="J100" s="37">
        <f t="shared" ref="J100:K100" si="92">J88+J99</f>
        <v>10399.200000000001</v>
      </c>
      <c r="K100" s="38">
        <f t="shared" si="92"/>
        <v>0</v>
      </c>
      <c r="L100" s="38"/>
      <c r="M100" s="37">
        <f t="shared" ref="M100:N100" si="93">M88+M99</f>
        <v>0</v>
      </c>
      <c r="N100" s="38">
        <f t="shared" si="93"/>
        <v>0</v>
      </c>
      <c r="O100" s="38"/>
      <c r="P100" s="37">
        <f t="shared" ref="P100:Z100" si="94">P88+P99</f>
        <v>0</v>
      </c>
      <c r="Q100" s="38">
        <f t="shared" si="94"/>
        <v>0</v>
      </c>
      <c r="R100" s="38">
        <f t="shared" si="94"/>
        <v>0</v>
      </c>
      <c r="S100" s="37">
        <f t="shared" si="94"/>
        <v>0</v>
      </c>
      <c r="T100" s="38">
        <f t="shared" si="94"/>
        <v>0</v>
      </c>
      <c r="U100" s="38">
        <f t="shared" si="94"/>
        <v>0</v>
      </c>
      <c r="V100" s="37">
        <f t="shared" si="94"/>
        <v>0</v>
      </c>
      <c r="W100" s="38">
        <f t="shared" si="94"/>
        <v>0</v>
      </c>
      <c r="X100" s="38">
        <f t="shared" si="94"/>
        <v>0</v>
      </c>
      <c r="Y100" s="37">
        <f t="shared" si="94"/>
        <v>0</v>
      </c>
      <c r="Z100" s="38">
        <f t="shared" si="94"/>
        <v>0</v>
      </c>
      <c r="AA100" s="38"/>
      <c r="AB100" s="37">
        <f t="shared" ref="AB100:AC100" si="95">AB88+AB99</f>
        <v>0</v>
      </c>
      <c r="AC100" s="38">
        <f t="shared" si="95"/>
        <v>0</v>
      </c>
      <c r="AD100" s="38"/>
      <c r="AE100" s="37">
        <f t="shared" ref="AE100:AF100" si="96">AE88+AE99</f>
        <v>0</v>
      </c>
      <c r="AF100" s="38">
        <f t="shared" si="96"/>
        <v>0</v>
      </c>
      <c r="AG100" s="38"/>
      <c r="AH100" s="37">
        <f t="shared" ref="AH100:AI100" si="97">AH88+AH99</f>
        <v>0</v>
      </c>
      <c r="AI100" s="38">
        <f t="shared" si="97"/>
        <v>0</v>
      </c>
      <c r="AJ100" s="38"/>
      <c r="AK100" s="37">
        <f t="shared" ref="AK100:AL100" si="98">AK88+AK99</f>
        <v>0</v>
      </c>
      <c r="AL100" s="38">
        <f t="shared" si="98"/>
        <v>0</v>
      </c>
      <c r="AM100" s="38"/>
      <c r="AN100" s="37">
        <f t="shared" ref="AN100:AO100" si="99">AN88+AN99</f>
        <v>0</v>
      </c>
      <c r="AO100" s="38">
        <f t="shared" si="99"/>
        <v>0</v>
      </c>
      <c r="AP100" s="38"/>
      <c r="AQ100" s="37">
        <f t="shared" ref="AQ100" si="100">AQ88+AQ99</f>
        <v>0</v>
      </c>
    </row>
  </sheetData>
  <mergeCells count="60">
    <mergeCell ref="AI3:AK3"/>
    <mergeCell ref="AL3:AN3"/>
    <mergeCell ref="AO3:AQ3"/>
    <mergeCell ref="AO37:AQ37"/>
    <mergeCell ref="T3:V3"/>
    <mergeCell ref="W3:Y3"/>
    <mergeCell ref="Z3:AB3"/>
    <mergeCell ref="AC3:AE3"/>
    <mergeCell ref="AF3:AH3"/>
    <mergeCell ref="E3:G3"/>
    <mergeCell ref="H3:J3"/>
    <mergeCell ref="K3:M3"/>
    <mergeCell ref="N3:P3"/>
    <mergeCell ref="Q3:S3"/>
    <mergeCell ref="B18:D18"/>
    <mergeCell ref="A3:A4"/>
    <mergeCell ref="B3:B4"/>
    <mergeCell ref="C3:C4"/>
    <mergeCell ref="D3:D4"/>
    <mergeCell ref="Q37:S37"/>
    <mergeCell ref="B64:D64"/>
    <mergeCell ref="AF37:AH37"/>
    <mergeCell ref="AI37:AK37"/>
    <mergeCell ref="AL37:AN37"/>
    <mergeCell ref="E37:G37"/>
    <mergeCell ref="H37:J37"/>
    <mergeCell ref="K37:M37"/>
    <mergeCell ref="N37:P37"/>
    <mergeCell ref="T37:V37"/>
    <mergeCell ref="W37:Y37"/>
    <mergeCell ref="Z37:AB37"/>
    <mergeCell ref="AC37:AE37"/>
    <mergeCell ref="B53:D53"/>
    <mergeCell ref="B28:D28"/>
    <mergeCell ref="B29:D29"/>
    <mergeCell ref="B65:D65"/>
    <mergeCell ref="A37:A38"/>
    <mergeCell ref="B37:B38"/>
    <mergeCell ref="C37:C38"/>
    <mergeCell ref="D37:D38"/>
    <mergeCell ref="A70:A71"/>
    <mergeCell ref="B70:B71"/>
    <mergeCell ref="C70:C71"/>
    <mergeCell ref="D70:D71"/>
    <mergeCell ref="E70:G70"/>
    <mergeCell ref="AL70:AN70"/>
    <mergeCell ref="AO70:AQ70"/>
    <mergeCell ref="B88:D88"/>
    <mergeCell ref="B99:D99"/>
    <mergeCell ref="B100:D100"/>
    <mergeCell ref="W70:Y70"/>
    <mergeCell ref="Z70:AB70"/>
    <mergeCell ref="AC70:AE70"/>
    <mergeCell ref="AF70:AH70"/>
    <mergeCell ref="AI70:AK70"/>
    <mergeCell ref="H70:J70"/>
    <mergeCell ref="K70:M70"/>
    <mergeCell ref="N70:P70"/>
    <mergeCell ref="Q70:S70"/>
    <mergeCell ref="T70:V70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AB83-F36B-4708-96BB-5963695C20CD}">
  <sheetPr>
    <tabColor rgb="FFFF0000"/>
  </sheetPr>
  <dimension ref="A1:AQ78"/>
  <sheetViews>
    <sheetView workbookViewId="0">
      <pane xSplit="3" ySplit="4" topLeftCell="E52" activePane="bottomRight" state="frozen"/>
      <selection pane="topRight" activeCell="D1" sqref="D1"/>
      <selection pane="bottomLeft" activeCell="A5" sqref="A5"/>
      <selection pane="bottomRight" activeCell="I66" sqref="I66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customWidth="1"/>
    <col min="7" max="7" width="8.5703125" style="42" customWidth="1"/>
    <col min="8" max="41" width="6.7109375" style="42" customWidth="1"/>
    <col min="42" max="43" width="7.140625" style="42" bestFit="1" customWidth="1"/>
    <col min="44" max="16384" width="9.7109375" style="42"/>
  </cols>
  <sheetData>
    <row r="1" spans="1:43" x14ac:dyDescent="0.5">
      <c r="B1" s="41" t="s">
        <v>133</v>
      </c>
    </row>
    <row r="3" spans="1:43" x14ac:dyDescent="0.5">
      <c r="A3" s="245" t="s">
        <v>52</v>
      </c>
      <c r="B3" s="245" t="s">
        <v>51</v>
      </c>
      <c r="C3" s="247" t="s">
        <v>117</v>
      </c>
      <c r="D3" s="247" t="s">
        <v>95</v>
      </c>
      <c r="E3" s="236" t="s">
        <v>114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5">
      <c r="A4" s="246"/>
      <c r="B4" s="246"/>
      <c r="C4" s="248"/>
      <c r="D4" s="248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5">
      <c r="A5" s="29">
        <v>1</v>
      </c>
      <c r="B5" s="161" t="s">
        <v>67</v>
      </c>
      <c r="C5" s="34">
        <v>0.7</v>
      </c>
      <c r="D5" s="34" t="s">
        <v>96</v>
      </c>
      <c r="E5" s="29"/>
      <c r="F5" s="29"/>
      <c r="G5" s="29">
        <f>F5*C5</f>
        <v>0</v>
      </c>
      <c r="H5" s="29"/>
      <c r="I5" s="29"/>
      <c r="J5" s="29">
        <f>I5*C5</f>
        <v>0</v>
      </c>
      <c r="K5" s="29"/>
      <c r="L5" s="29"/>
      <c r="M5" s="29">
        <f>L5*C5</f>
        <v>0</v>
      </c>
      <c r="N5" s="29"/>
      <c r="O5" s="29"/>
      <c r="P5" s="84">
        <f>O5*C5</f>
        <v>0</v>
      </c>
      <c r="Q5" s="29"/>
      <c r="R5" s="29"/>
      <c r="S5" s="29">
        <f>R5*C5</f>
        <v>0</v>
      </c>
      <c r="T5" s="29"/>
      <c r="U5" s="29"/>
      <c r="V5" s="29">
        <f>U5*C5</f>
        <v>0</v>
      </c>
      <c r="W5" s="29"/>
      <c r="X5" s="29"/>
      <c r="Y5" s="29">
        <f>X5*C5</f>
        <v>0</v>
      </c>
      <c r="Z5" s="29">
        <v>25</v>
      </c>
      <c r="AA5" s="29">
        <v>300</v>
      </c>
      <c r="AB5" s="29">
        <f>AA5*C5</f>
        <v>210</v>
      </c>
      <c r="AC5" s="29">
        <v>25</v>
      </c>
      <c r="AD5" s="29">
        <v>300</v>
      </c>
      <c r="AE5" s="29">
        <f>AD5*C5</f>
        <v>210</v>
      </c>
      <c r="AF5" s="29">
        <v>35</v>
      </c>
      <c r="AG5" s="29">
        <v>420</v>
      </c>
      <c r="AH5" s="29">
        <f>AG5*C5</f>
        <v>294</v>
      </c>
      <c r="AI5" s="29">
        <v>28</v>
      </c>
      <c r="AJ5" s="29">
        <v>336</v>
      </c>
      <c r="AK5" s="29">
        <f>AJ5*C5</f>
        <v>235.2</v>
      </c>
      <c r="AL5" s="29"/>
      <c r="AM5" s="29"/>
      <c r="AN5" s="29">
        <f>AM5*C5</f>
        <v>0</v>
      </c>
      <c r="AO5" s="29">
        <f>E5+H5+K5+N5+Q5+T5+W5+Z5+AC5+AF5+AI5+AL5</f>
        <v>113</v>
      </c>
      <c r="AP5" s="29">
        <f t="shared" ref="AP5:AQ5" si="0">F5+I5+L5+O5+R5+U5+X5+AA5+AD5+AG5+AJ5+AM5</f>
        <v>1356</v>
      </c>
      <c r="AQ5" s="29">
        <f t="shared" si="0"/>
        <v>949.2</v>
      </c>
    </row>
    <row r="6" spans="1:43" x14ac:dyDescent="0.5">
      <c r="A6" s="29">
        <v>3</v>
      </c>
      <c r="B6" s="161" t="s">
        <v>69</v>
      </c>
      <c r="C6" s="30">
        <v>1</v>
      </c>
      <c r="D6" s="30" t="s">
        <v>96</v>
      </c>
      <c r="E6" s="29">
        <v>28</v>
      </c>
      <c r="F6" s="29">
        <v>336</v>
      </c>
      <c r="G6" s="29">
        <f t="shared" ref="G6:G12" si="1">F6*C6</f>
        <v>336</v>
      </c>
      <c r="H6" s="29"/>
      <c r="I6" s="29"/>
      <c r="J6" s="29">
        <f t="shared" ref="J6:J12" si="2">I6*C6</f>
        <v>0</v>
      </c>
      <c r="K6" s="29"/>
      <c r="L6" s="29"/>
      <c r="M6" s="29">
        <f t="shared" ref="M6:M12" si="3">L6*C6</f>
        <v>0</v>
      </c>
      <c r="N6" s="29">
        <v>42</v>
      </c>
      <c r="O6" s="29">
        <v>504</v>
      </c>
      <c r="P6" s="84">
        <f t="shared" ref="P6:P12" si="4">O6*C6</f>
        <v>504</v>
      </c>
      <c r="Q6" s="29">
        <v>15</v>
      </c>
      <c r="R6" s="29">
        <v>180</v>
      </c>
      <c r="S6" s="29">
        <f t="shared" ref="S6:S12" si="5">R6*C6</f>
        <v>180</v>
      </c>
      <c r="T6" s="29">
        <v>35</v>
      </c>
      <c r="U6" s="29">
        <v>420</v>
      </c>
      <c r="V6" s="29">
        <f t="shared" ref="V6:V12" si="6">U6*C6</f>
        <v>420</v>
      </c>
      <c r="W6" s="29">
        <v>22</v>
      </c>
      <c r="X6" s="29">
        <v>264</v>
      </c>
      <c r="Y6" s="29">
        <f t="shared" ref="Y6:Y12" si="7">X6*C6</f>
        <v>264</v>
      </c>
      <c r="Z6" s="29">
        <v>25</v>
      </c>
      <c r="AA6" s="29">
        <v>300</v>
      </c>
      <c r="AB6" s="29">
        <f t="shared" ref="AB6:AB12" si="8">AA6*C6</f>
        <v>300</v>
      </c>
      <c r="AC6" s="29">
        <v>20</v>
      </c>
      <c r="AD6" s="29">
        <v>240</v>
      </c>
      <c r="AE6" s="29">
        <f t="shared" ref="AE6:AE12" si="9">AD6*C6</f>
        <v>240</v>
      </c>
      <c r="AF6" s="29">
        <v>5</v>
      </c>
      <c r="AG6" s="29">
        <v>60</v>
      </c>
      <c r="AH6" s="29">
        <f t="shared" ref="AH6:AH12" si="10">AG6*C6</f>
        <v>60</v>
      </c>
      <c r="AI6" s="29">
        <v>18</v>
      </c>
      <c r="AJ6" s="29">
        <v>216</v>
      </c>
      <c r="AK6" s="29">
        <f t="shared" ref="AK6:AK12" si="11">AJ6*C6</f>
        <v>216</v>
      </c>
      <c r="AL6" s="29"/>
      <c r="AM6" s="29"/>
      <c r="AN6" s="29">
        <f t="shared" ref="AN6:AN12" si="12">AM6*C6</f>
        <v>0</v>
      </c>
      <c r="AO6" s="29">
        <f t="shared" ref="AO6:AO11" si="13">E6+H6+K6+N6+Q6+T6+W6+Z6+AC6+AF6+AI6+AL6</f>
        <v>210</v>
      </c>
      <c r="AP6" s="29">
        <f t="shared" ref="AP6:AP11" si="14">F6+I6+L6+O6+R6+U6+X6+AA6+AD6+AG6+AJ6+AM6</f>
        <v>2520</v>
      </c>
      <c r="AQ6" s="29">
        <f t="shared" ref="AQ6:AQ11" si="15">G6+J6+M6+P6+S6+V6+Y6+AB6+AE6+AH6+AK6+AN6</f>
        <v>2520</v>
      </c>
    </row>
    <row r="7" spans="1:43" x14ac:dyDescent="0.5">
      <c r="A7" s="29">
        <v>4</v>
      </c>
      <c r="B7" s="1" t="s">
        <v>144</v>
      </c>
      <c r="C7" s="30">
        <v>0.64</v>
      </c>
      <c r="D7" s="30" t="s">
        <v>99</v>
      </c>
      <c r="E7" s="29">
        <v>215</v>
      </c>
      <c r="F7" s="29">
        <v>3010</v>
      </c>
      <c r="G7" s="29">
        <f t="shared" si="1"/>
        <v>1926.4</v>
      </c>
      <c r="H7" s="29">
        <v>170</v>
      </c>
      <c r="I7" s="29">
        <v>2380</v>
      </c>
      <c r="J7" s="29">
        <f t="shared" si="2"/>
        <v>1523.2</v>
      </c>
      <c r="K7" s="29">
        <v>198</v>
      </c>
      <c r="L7" s="29">
        <v>2772</v>
      </c>
      <c r="M7" s="29">
        <f t="shared" si="3"/>
        <v>1774.08</v>
      </c>
      <c r="N7" s="29">
        <v>228</v>
      </c>
      <c r="O7" s="29">
        <v>3192</v>
      </c>
      <c r="P7" s="84">
        <f t="shared" si="4"/>
        <v>2042.88</v>
      </c>
      <c r="Q7" s="29">
        <v>380</v>
      </c>
      <c r="R7" s="29">
        <v>5320</v>
      </c>
      <c r="S7" s="29">
        <f t="shared" si="5"/>
        <v>3404.8</v>
      </c>
      <c r="T7" s="29">
        <v>100</v>
      </c>
      <c r="U7" s="29">
        <v>1400</v>
      </c>
      <c r="V7" s="29">
        <f t="shared" si="6"/>
        <v>896</v>
      </c>
      <c r="W7" s="29">
        <v>300</v>
      </c>
      <c r="X7" s="29">
        <v>4200</v>
      </c>
      <c r="Y7" s="29">
        <f t="shared" si="7"/>
        <v>2688</v>
      </c>
      <c r="Z7" s="29">
        <v>250</v>
      </c>
      <c r="AA7" s="29">
        <v>3500</v>
      </c>
      <c r="AB7" s="29">
        <f t="shared" si="8"/>
        <v>2240</v>
      </c>
      <c r="AC7" s="29">
        <v>155</v>
      </c>
      <c r="AD7" s="29">
        <v>2170</v>
      </c>
      <c r="AE7" s="29">
        <f t="shared" si="9"/>
        <v>1388.8</v>
      </c>
      <c r="AF7" s="29">
        <v>201</v>
      </c>
      <c r="AG7" s="29">
        <v>2814</v>
      </c>
      <c r="AH7" s="29">
        <f t="shared" si="10"/>
        <v>1800.96</v>
      </c>
      <c r="AI7" s="29">
        <v>120</v>
      </c>
      <c r="AJ7" s="29">
        <v>1680</v>
      </c>
      <c r="AK7" s="29">
        <f t="shared" si="11"/>
        <v>1075.2</v>
      </c>
      <c r="AL7" s="29">
        <v>240</v>
      </c>
      <c r="AM7" s="29">
        <v>3360</v>
      </c>
      <c r="AN7" s="29">
        <f t="shared" si="12"/>
        <v>2150.4</v>
      </c>
      <c r="AO7" s="29">
        <f t="shared" si="13"/>
        <v>2557</v>
      </c>
      <c r="AP7" s="29">
        <f t="shared" si="14"/>
        <v>35798</v>
      </c>
      <c r="AQ7" s="29">
        <f t="shared" si="15"/>
        <v>22910.720000000001</v>
      </c>
    </row>
    <row r="8" spans="1:43" x14ac:dyDescent="0.5">
      <c r="A8" s="29">
        <v>5</v>
      </c>
      <c r="B8" s="1" t="s">
        <v>9</v>
      </c>
      <c r="C8" s="30">
        <v>0.64</v>
      </c>
      <c r="D8" s="30" t="s">
        <v>99</v>
      </c>
      <c r="E8" s="29"/>
      <c r="F8" s="29"/>
      <c r="G8" s="29">
        <f t="shared" si="1"/>
        <v>0</v>
      </c>
      <c r="H8" s="29">
        <v>30</v>
      </c>
      <c r="I8" s="29">
        <v>420</v>
      </c>
      <c r="J8" s="29">
        <f t="shared" si="2"/>
        <v>268.8</v>
      </c>
      <c r="K8" s="29">
        <v>20</v>
      </c>
      <c r="L8" s="29">
        <v>280</v>
      </c>
      <c r="M8" s="29">
        <f t="shared" si="3"/>
        <v>179.20000000000002</v>
      </c>
      <c r="N8" s="29"/>
      <c r="O8" s="29"/>
      <c r="P8" s="84">
        <f t="shared" si="4"/>
        <v>0</v>
      </c>
      <c r="Q8" s="29"/>
      <c r="R8" s="29"/>
      <c r="S8" s="29">
        <f t="shared" si="5"/>
        <v>0</v>
      </c>
      <c r="T8" s="29"/>
      <c r="U8" s="29"/>
      <c r="V8" s="29">
        <f t="shared" si="6"/>
        <v>0</v>
      </c>
      <c r="W8" s="29">
        <v>10</v>
      </c>
      <c r="X8" s="29">
        <v>140</v>
      </c>
      <c r="Y8" s="29">
        <f t="shared" si="7"/>
        <v>89.600000000000009</v>
      </c>
      <c r="Z8" s="29"/>
      <c r="AA8" s="29"/>
      <c r="AB8" s="29">
        <f t="shared" si="8"/>
        <v>0</v>
      </c>
      <c r="AC8" s="29">
        <v>20</v>
      </c>
      <c r="AD8" s="29">
        <v>280</v>
      </c>
      <c r="AE8" s="29">
        <f t="shared" si="9"/>
        <v>179.20000000000002</v>
      </c>
      <c r="AF8" s="29"/>
      <c r="AG8" s="29"/>
      <c r="AH8" s="29">
        <f t="shared" si="10"/>
        <v>0</v>
      </c>
      <c r="AI8" s="29">
        <v>20</v>
      </c>
      <c r="AJ8" s="29">
        <v>280</v>
      </c>
      <c r="AK8" s="29">
        <f t="shared" si="11"/>
        <v>179.20000000000002</v>
      </c>
      <c r="AL8" s="29">
        <v>15</v>
      </c>
      <c r="AM8" s="29">
        <v>210</v>
      </c>
      <c r="AN8" s="29">
        <f t="shared" si="12"/>
        <v>134.4</v>
      </c>
      <c r="AO8" s="29">
        <f t="shared" si="13"/>
        <v>115</v>
      </c>
      <c r="AP8" s="29">
        <f t="shared" si="14"/>
        <v>1610</v>
      </c>
      <c r="AQ8" s="29">
        <f t="shared" si="15"/>
        <v>1030.4000000000001</v>
      </c>
    </row>
    <row r="9" spans="1:43" x14ac:dyDescent="0.5">
      <c r="A9" s="29">
        <v>6</v>
      </c>
      <c r="B9" s="1" t="s">
        <v>91</v>
      </c>
      <c r="C9" s="30">
        <v>0.64</v>
      </c>
      <c r="D9" s="30" t="s">
        <v>99</v>
      </c>
      <c r="E9" s="84"/>
      <c r="F9" s="84"/>
      <c r="G9" s="29">
        <f t="shared" si="1"/>
        <v>0</v>
      </c>
      <c r="H9" s="84"/>
      <c r="I9" s="84"/>
      <c r="J9" s="29">
        <f t="shared" si="2"/>
        <v>0</v>
      </c>
      <c r="K9" s="84"/>
      <c r="L9" s="84"/>
      <c r="M9" s="29">
        <f t="shared" si="3"/>
        <v>0</v>
      </c>
      <c r="N9" s="84"/>
      <c r="O9" s="84"/>
      <c r="P9" s="84">
        <f t="shared" si="4"/>
        <v>0</v>
      </c>
      <c r="Q9" s="84"/>
      <c r="R9" s="84"/>
      <c r="S9" s="29">
        <f t="shared" si="5"/>
        <v>0</v>
      </c>
      <c r="T9" s="84"/>
      <c r="U9" s="84"/>
      <c r="V9" s="29">
        <f t="shared" si="6"/>
        <v>0</v>
      </c>
      <c r="W9" s="84"/>
      <c r="X9" s="84"/>
      <c r="Y9" s="29">
        <f t="shared" si="7"/>
        <v>0</v>
      </c>
      <c r="Z9" s="84"/>
      <c r="AA9" s="84"/>
      <c r="AB9" s="29">
        <f t="shared" si="8"/>
        <v>0</v>
      </c>
      <c r="AC9" s="84"/>
      <c r="AD9" s="84"/>
      <c r="AE9" s="29">
        <f t="shared" si="9"/>
        <v>0</v>
      </c>
      <c r="AF9" s="84"/>
      <c r="AG9" s="84"/>
      <c r="AH9" s="29">
        <f t="shared" si="10"/>
        <v>0</v>
      </c>
      <c r="AI9" s="84">
        <v>5</v>
      </c>
      <c r="AJ9" s="84">
        <v>70</v>
      </c>
      <c r="AK9" s="29">
        <f t="shared" si="11"/>
        <v>44.800000000000004</v>
      </c>
      <c r="AL9" s="84"/>
      <c r="AM9" s="84"/>
      <c r="AN9" s="29">
        <f t="shared" si="12"/>
        <v>0</v>
      </c>
      <c r="AO9" s="29">
        <f t="shared" si="13"/>
        <v>5</v>
      </c>
      <c r="AP9" s="29">
        <f t="shared" si="14"/>
        <v>70</v>
      </c>
      <c r="AQ9" s="29">
        <f t="shared" si="15"/>
        <v>44.800000000000004</v>
      </c>
    </row>
    <row r="10" spans="1:43" x14ac:dyDescent="0.5">
      <c r="A10" s="29">
        <v>7</v>
      </c>
      <c r="B10" s="1" t="s">
        <v>90</v>
      </c>
      <c r="C10" s="30">
        <v>1</v>
      </c>
      <c r="D10" s="30" t="s">
        <v>96</v>
      </c>
      <c r="E10" s="84"/>
      <c r="F10" s="84"/>
      <c r="G10" s="29">
        <f t="shared" si="1"/>
        <v>0</v>
      </c>
      <c r="H10" s="84"/>
      <c r="I10" s="84"/>
      <c r="J10" s="29">
        <f t="shared" si="2"/>
        <v>0</v>
      </c>
      <c r="K10" s="84"/>
      <c r="L10" s="84"/>
      <c r="M10" s="29">
        <f t="shared" si="3"/>
        <v>0</v>
      </c>
      <c r="N10" s="84">
        <v>7</v>
      </c>
      <c r="O10" s="84">
        <v>84</v>
      </c>
      <c r="P10" s="84">
        <f t="shared" si="4"/>
        <v>84</v>
      </c>
      <c r="Q10" s="84"/>
      <c r="R10" s="84"/>
      <c r="S10" s="29">
        <f t="shared" si="5"/>
        <v>0</v>
      </c>
      <c r="T10" s="84"/>
      <c r="U10" s="84"/>
      <c r="V10" s="29">
        <f t="shared" si="6"/>
        <v>0</v>
      </c>
      <c r="W10" s="84"/>
      <c r="X10" s="84"/>
      <c r="Y10" s="29">
        <f t="shared" si="7"/>
        <v>0</v>
      </c>
      <c r="Z10" s="84"/>
      <c r="AA10" s="84"/>
      <c r="AB10" s="29">
        <f t="shared" si="8"/>
        <v>0</v>
      </c>
      <c r="AC10" s="84"/>
      <c r="AD10" s="84"/>
      <c r="AE10" s="29">
        <f t="shared" si="9"/>
        <v>0</v>
      </c>
      <c r="AF10" s="84"/>
      <c r="AG10" s="84"/>
      <c r="AH10" s="29">
        <f t="shared" si="10"/>
        <v>0</v>
      </c>
      <c r="AI10" s="84"/>
      <c r="AJ10" s="84"/>
      <c r="AK10" s="29">
        <f t="shared" si="11"/>
        <v>0</v>
      </c>
      <c r="AL10" s="84"/>
      <c r="AM10" s="84"/>
      <c r="AN10" s="29">
        <f t="shared" si="12"/>
        <v>0</v>
      </c>
      <c r="AO10" s="29">
        <f t="shared" ref="AO10" si="16">E10+H10+K10+N10+Q10+T10+W10+Z10+AC10+AF10+AI10+AL10</f>
        <v>7</v>
      </c>
      <c r="AP10" s="29">
        <f t="shared" ref="AP10" si="17">F10+I10+L10+O10+R10+U10+X10+AA10+AD10+AG10+AJ10+AM10</f>
        <v>84</v>
      </c>
      <c r="AQ10" s="29">
        <f t="shared" ref="AQ10" si="18">G10+J10+M10+P10+S10+V10+Y10+AB10+AE10+AH10+AK10+AN10</f>
        <v>84</v>
      </c>
    </row>
    <row r="11" spans="1:43" x14ac:dyDescent="0.5">
      <c r="A11" s="29">
        <v>8</v>
      </c>
      <c r="B11" s="1" t="s">
        <v>92</v>
      </c>
      <c r="C11" s="30">
        <v>0.64</v>
      </c>
      <c r="D11" s="1" t="s">
        <v>98</v>
      </c>
      <c r="E11" s="84">
        <v>50</v>
      </c>
      <c r="F11" s="84">
        <v>1200</v>
      </c>
      <c r="G11" s="29">
        <f t="shared" si="1"/>
        <v>768</v>
      </c>
      <c r="H11" s="84">
        <v>55</v>
      </c>
      <c r="I11" s="84">
        <v>1320</v>
      </c>
      <c r="J11" s="29">
        <f t="shared" si="2"/>
        <v>844.80000000000007</v>
      </c>
      <c r="K11" s="84">
        <v>20</v>
      </c>
      <c r="L11" s="84">
        <v>480</v>
      </c>
      <c r="M11" s="29">
        <f t="shared" si="3"/>
        <v>307.2</v>
      </c>
      <c r="N11" s="84">
        <v>50</v>
      </c>
      <c r="O11" s="84">
        <v>1200</v>
      </c>
      <c r="P11" s="84">
        <f t="shared" si="4"/>
        <v>768</v>
      </c>
      <c r="Q11" s="84">
        <v>30</v>
      </c>
      <c r="R11" s="84">
        <v>720</v>
      </c>
      <c r="S11" s="29">
        <f t="shared" si="5"/>
        <v>460.8</v>
      </c>
      <c r="T11" s="84">
        <v>50</v>
      </c>
      <c r="U11" s="84">
        <v>1200</v>
      </c>
      <c r="V11" s="29">
        <f t="shared" si="6"/>
        <v>768</v>
      </c>
      <c r="W11" s="84">
        <v>65</v>
      </c>
      <c r="X11" s="84">
        <v>1560</v>
      </c>
      <c r="Y11" s="29">
        <f t="shared" si="7"/>
        <v>998.4</v>
      </c>
      <c r="Z11" s="84">
        <v>50</v>
      </c>
      <c r="AA11" s="84">
        <v>1200</v>
      </c>
      <c r="AB11" s="29">
        <f t="shared" si="8"/>
        <v>768</v>
      </c>
      <c r="AC11" s="84">
        <v>60</v>
      </c>
      <c r="AD11" s="84">
        <v>1440</v>
      </c>
      <c r="AE11" s="29">
        <f t="shared" si="9"/>
        <v>921.6</v>
      </c>
      <c r="AF11" s="84">
        <v>20</v>
      </c>
      <c r="AG11" s="84">
        <v>480</v>
      </c>
      <c r="AH11" s="29">
        <f t="shared" si="10"/>
        <v>307.2</v>
      </c>
      <c r="AI11" s="84">
        <v>50</v>
      </c>
      <c r="AJ11" s="84">
        <v>1200</v>
      </c>
      <c r="AK11" s="29">
        <f t="shared" si="11"/>
        <v>768</v>
      </c>
      <c r="AL11" s="84">
        <v>70</v>
      </c>
      <c r="AM11" s="84">
        <v>1680</v>
      </c>
      <c r="AN11" s="29">
        <f t="shared" si="12"/>
        <v>1075.2</v>
      </c>
      <c r="AO11" s="29">
        <f t="shared" si="13"/>
        <v>570</v>
      </c>
      <c r="AP11" s="29">
        <f t="shared" si="14"/>
        <v>13680</v>
      </c>
      <c r="AQ11" s="29">
        <f t="shared" si="15"/>
        <v>8755.2000000000007</v>
      </c>
    </row>
    <row r="12" spans="1:43" x14ac:dyDescent="0.5">
      <c r="A12" s="29">
        <v>9</v>
      </c>
      <c r="B12" s="1" t="s">
        <v>8</v>
      </c>
      <c r="C12" s="30">
        <v>0.7</v>
      </c>
      <c r="D12" s="1" t="s">
        <v>135</v>
      </c>
      <c r="E12" s="84"/>
      <c r="F12" s="84"/>
      <c r="G12" s="29">
        <f t="shared" si="1"/>
        <v>0</v>
      </c>
      <c r="H12" s="84"/>
      <c r="I12" s="84"/>
      <c r="J12" s="29">
        <f t="shared" si="2"/>
        <v>0</v>
      </c>
      <c r="K12" s="84"/>
      <c r="L12" s="84"/>
      <c r="M12" s="29">
        <f t="shared" si="3"/>
        <v>0</v>
      </c>
      <c r="N12" s="84"/>
      <c r="O12" s="84"/>
      <c r="P12" s="84">
        <f t="shared" si="4"/>
        <v>0</v>
      </c>
      <c r="Q12" s="84">
        <v>1</v>
      </c>
      <c r="R12" s="84">
        <v>12</v>
      </c>
      <c r="S12" s="29">
        <f t="shared" si="5"/>
        <v>8.3999999999999986</v>
      </c>
      <c r="T12" s="84"/>
      <c r="U12" s="84"/>
      <c r="V12" s="29">
        <f t="shared" si="6"/>
        <v>0</v>
      </c>
      <c r="W12" s="84"/>
      <c r="X12" s="84"/>
      <c r="Y12" s="29">
        <f t="shared" si="7"/>
        <v>0</v>
      </c>
      <c r="Z12" s="84"/>
      <c r="AA12" s="84"/>
      <c r="AB12" s="29">
        <f t="shared" si="8"/>
        <v>0</v>
      </c>
      <c r="AC12" s="84"/>
      <c r="AD12" s="84"/>
      <c r="AE12" s="29">
        <f t="shared" si="9"/>
        <v>0</v>
      </c>
      <c r="AF12" s="84"/>
      <c r="AG12" s="84"/>
      <c r="AH12" s="29">
        <f t="shared" si="10"/>
        <v>0</v>
      </c>
      <c r="AI12" s="84"/>
      <c r="AJ12" s="84"/>
      <c r="AK12" s="29">
        <f t="shared" si="11"/>
        <v>0</v>
      </c>
      <c r="AL12" s="84"/>
      <c r="AM12" s="84"/>
      <c r="AN12" s="29">
        <f t="shared" si="12"/>
        <v>0</v>
      </c>
      <c r="AO12" s="29">
        <f t="shared" ref="AO12" si="19">E12+H12+K12+N12+Q12+T12+W12+Z12+AC12+AF12+AI12+AL12</f>
        <v>1</v>
      </c>
      <c r="AP12" s="29">
        <f t="shared" ref="AP12" si="20">F12+I12+L12+O12+R12+U12+X12+AA12+AD12+AG12+AJ12+AM12</f>
        <v>12</v>
      </c>
      <c r="AQ12" s="29">
        <f t="shared" ref="AQ12" si="21">G12+J12+M12+P12+S12+V12+Y12+AB12+AE12+AH12+AK12+AN12</f>
        <v>8.3999999999999986</v>
      </c>
    </row>
    <row r="13" spans="1:43" x14ac:dyDescent="0.5">
      <c r="A13" s="24"/>
      <c r="B13" s="239" t="s">
        <v>10</v>
      </c>
      <c r="C13" s="240"/>
      <c r="D13" s="241"/>
      <c r="E13" s="22">
        <f t="shared" ref="E13:J13" si="22">SUM(E5:E11)</f>
        <v>293</v>
      </c>
      <c r="F13" s="22">
        <f t="shared" si="22"/>
        <v>4546</v>
      </c>
      <c r="G13" s="22">
        <f t="shared" si="22"/>
        <v>3030.4</v>
      </c>
      <c r="H13" s="22">
        <f t="shared" si="22"/>
        <v>255</v>
      </c>
      <c r="I13" s="22">
        <f t="shared" si="22"/>
        <v>4120</v>
      </c>
      <c r="J13" s="22">
        <f t="shared" si="22"/>
        <v>2636.8</v>
      </c>
      <c r="K13" s="22">
        <f>SUM(K5:K12)</f>
        <v>238</v>
      </c>
      <c r="L13" s="22">
        <f t="shared" ref="L13:AQ13" si="23">SUM(L5:L12)</f>
        <v>3532</v>
      </c>
      <c r="M13" s="22">
        <f t="shared" si="23"/>
        <v>2260.48</v>
      </c>
      <c r="N13" s="22">
        <f t="shared" si="23"/>
        <v>327</v>
      </c>
      <c r="O13" s="22">
        <f t="shared" si="23"/>
        <v>4980</v>
      </c>
      <c r="P13" s="22">
        <f t="shared" si="23"/>
        <v>3398.88</v>
      </c>
      <c r="Q13" s="22">
        <f t="shared" si="23"/>
        <v>426</v>
      </c>
      <c r="R13" s="22">
        <f t="shared" si="23"/>
        <v>6232</v>
      </c>
      <c r="S13" s="22">
        <f t="shared" si="23"/>
        <v>4054.0000000000005</v>
      </c>
      <c r="T13" s="22">
        <f t="shared" si="23"/>
        <v>185</v>
      </c>
      <c r="U13" s="22">
        <f t="shared" si="23"/>
        <v>3020</v>
      </c>
      <c r="V13" s="22">
        <f t="shared" si="23"/>
        <v>2084</v>
      </c>
      <c r="W13" s="22">
        <f t="shared" si="23"/>
        <v>397</v>
      </c>
      <c r="X13" s="22">
        <f t="shared" si="23"/>
        <v>6164</v>
      </c>
      <c r="Y13" s="22">
        <f t="shared" si="23"/>
        <v>4040</v>
      </c>
      <c r="Z13" s="22">
        <f t="shared" si="23"/>
        <v>350</v>
      </c>
      <c r="AA13" s="22">
        <f t="shared" si="23"/>
        <v>5300</v>
      </c>
      <c r="AB13" s="22">
        <f t="shared" si="23"/>
        <v>3518</v>
      </c>
      <c r="AC13" s="22">
        <f t="shared" si="23"/>
        <v>280</v>
      </c>
      <c r="AD13" s="22">
        <f t="shared" si="23"/>
        <v>4430</v>
      </c>
      <c r="AE13" s="22">
        <f t="shared" si="23"/>
        <v>2939.6</v>
      </c>
      <c r="AF13" s="22">
        <f t="shared" si="23"/>
        <v>261</v>
      </c>
      <c r="AG13" s="22">
        <f t="shared" si="23"/>
        <v>3774</v>
      </c>
      <c r="AH13" s="22">
        <f t="shared" si="23"/>
        <v>2462.16</v>
      </c>
      <c r="AI13" s="22">
        <f t="shared" si="23"/>
        <v>241</v>
      </c>
      <c r="AJ13" s="22">
        <f t="shared" si="23"/>
        <v>3782</v>
      </c>
      <c r="AK13" s="22">
        <f t="shared" si="23"/>
        <v>2518.4</v>
      </c>
      <c r="AL13" s="22">
        <f t="shared" si="23"/>
        <v>325</v>
      </c>
      <c r="AM13" s="22">
        <f t="shared" si="23"/>
        <v>5250</v>
      </c>
      <c r="AN13" s="22">
        <f t="shared" si="23"/>
        <v>3360</v>
      </c>
      <c r="AO13" s="22">
        <f t="shared" si="23"/>
        <v>3578</v>
      </c>
      <c r="AP13" s="22">
        <f t="shared" si="23"/>
        <v>55130</v>
      </c>
      <c r="AQ13" s="22">
        <f t="shared" si="23"/>
        <v>36302.720000000008</v>
      </c>
    </row>
    <row r="14" spans="1:43" ht="24" customHeight="1" x14ac:dyDescent="0.5">
      <c r="A14" s="39"/>
      <c r="B14" s="30"/>
      <c r="C14" s="30"/>
      <c r="D14" s="30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25.15" customHeight="1" x14ac:dyDescent="0.5">
      <c r="A15" s="39">
        <v>1</v>
      </c>
      <c r="B15" s="30" t="s">
        <v>6</v>
      </c>
      <c r="C15" s="1">
        <v>0.7</v>
      </c>
      <c r="D15" s="1" t="s">
        <v>96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>
        <f>48/12</f>
        <v>4</v>
      </c>
      <c r="X15" s="29">
        <v>48</v>
      </c>
      <c r="Y15" s="29">
        <f>X15*C15</f>
        <v>33.599999999999994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25.15" customHeight="1" x14ac:dyDescent="0.5">
      <c r="A16" s="39">
        <v>2</v>
      </c>
      <c r="B16" s="30" t="s">
        <v>5</v>
      </c>
      <c r="C16" s="1">
        <v>0.35</v>
      </c>
      <c r="D16" s="1" t="s">
        <v>98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25.15" customHeight="1" x14ac:dyDescent="0.5">
      <c r="A17" s="39">
        <v>3</v>
      </c>
      <c r="B17" s="30" t="s">
        <v>4</v>
      </c>
      <c r="C17" s="1">
        <v>0.17499999999999999</v>
      </c>
      <c r="D17" s="1" t="s">
        <v>100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25.15" customHeight="1" x14ac:dyDescent="0.5">
      <c r="A18" s="39">
        <v>4</v>
      </c>
      <c r="B18" s="30" t="s">
        <v>3</v>
      </c>
      <c r="C18" s="1">
        <v>0.7</v>
      </c>
      <c r="D18" s="1" t="s">
        <v>96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>
        <v>2</v>
      </c>
      <c r="X18" s="29">
        <v>24</v>
      </c>
      <c r="Y18" s="29">
        <f>X18*C18</f>
        <v>16.799999999999997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25.15" customHeight="1" x14ac:dyDescent="0.5">
      <c r="A19" s="39">
        <v>5</v>
      </c>
      <c r="B19" s="30" t="s">
        <v>2</v>
      </c>
      <c r="C19" s="1">
        <v>0.35</v>
      </c>
      <c r="D19" s="1" t="s">
        <v>98</v>
      </c>
      <c r="E19" s="29"/>
      <c r="F19" s="29">
        <v>72</v>
      </c>
      <c r="G19" s="29">
        <f>F19*C19</f>
        <v>25.2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25.15" customHeight="1" x14ac:dyDescent="0.5">
      <c r="A20" s="39">
        <v>6</v>
      </c>
      <c r="B20" s="30" t="s">
        <v>1</v>
      </c>
      <c r="C20" s="1">
        <v>0.17499999999999999</v>
      </c>
      <c r="D20" s="1" t="s">
        <v>100</v>
      </c>
      <c r="E20" s="29"/>
      <c r="F20" s="29"/>
      <c r="G20" s="29">
        <f t="shared" ref="G20:G22" si="24">F20*C20</f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>
        <f>AA20/48</f>
        <v>2</v>
      </c>
      <c r="AA20" s="29">
        <v>96</v>
      </c>
      <c r="AB20" s="29">
        <f>AA20*C20</f>
        <v>16.799999999999997</v>
      </c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ht="25.15" customHeight="1" x14ac:dyDescent="0.5">
      <c r="A21" s="39">
        <v>7</v>
      </c>
      <c r="B21" s="30" t="s">
        <v>0</v>
      </c>
      <c r="C21" s="1">
        <v>0.7</v>
      </c>
      <c r="D21" s="1" t="s">
        <v>96</v>
      </c>
      <c r="E21" s="29"/>
      <c r="F21" s="29"/>
      <c r="G21" s="29">
        <f t="shared" si="24"/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>
        <f>156/12</f>
        <v>13</v>
      </c>
      <c r="AA21" s="29">
        <v>156</v>
      </c>
      <c r="AB21" s="29">
        <f t="shared" ref="AB21:AB23" si="25">AA21*C21</f>
        <v>109.19999999999999</v>
      </c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ht="25.15" customHeight="1" x14ac:dyDescent="0.5">
      <c r="A22" s="39">
        <v>8</v>
      </c>
      <c r="B22" s="30" t="s">
        <v>8</v>
      </c>
      <c r="C22" s="1">
        <v>0.7</v>
      </c>
      <c r="D22" s="1" t="s">
        <v>96</v>
      </c>
      <c r="E22" s="29"/>
      <c r="F22" s="29"/>
      <c r="G22" s="29">
        <f t="shared" si="24"/>
        <v>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>
        <f t="shared" si="25"/>
        <v>0</v>
      </c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ht="25.15" customHeight="1" x14ac:dyDescent="0.5">
      <c r="A23" s="39">
        <v>9</v>
      </c>
      <c r="B23" s="30" t="s">
        <v>7</v>
      </c>
      <c r="C23" s="1">
        <v>0.35</v>
      </c>
      <c r="D23" s="1" t="s">
        <v>98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>
        <f t="shared" si="25"/>
        <v>0</v>
      </c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ht="25.15" customHeight="1" x14ac:dyDescent="0.5">
      <c r="A24" s="46"/>
      <c r="B24" s="239" t="s">
        <v>10</v>
      </c>
      <c r="C24" s="240"/>
      <c r="D24" s="241"/>
      <c r="E24" s="22">
        <f t="shared" ref="E24:F24" si="26">SUM(E15:E23)</f>
        <v>0</v>
      </c>
      <c r="F24" s="22">
        <f t="shared" si="26"/>
        <v>72</v>
      </c>
      <c r="G24" s="22">
        <f>SUM(G15:G23)</f>
        <v>25.2</v>
      </c>
      <c r="H24" s="22">
        <f t="shared" ref="H24:AQ24" si="27">SUM(H15:H23)</f>
        <v>0</v>
      </c>
      <c r="I24" s="22">
        <f t="shared" si="27"/>
        <v>0</v>
      </c>
      <c r="J24" s="22">
        <f t="shared" si="27"/>
        <v>0</v>
      </c>
      <c r="K24" s="22">
        <f t="shared" si="27"/>
        <v>0</v>
      </c>
      <c r="L24" s="22">
        <f t="shared" si="27"/>
        <v>0</v>
      </c>
      <c r="M24" s="22">
        <f t="shared" si="27"/>
        <v>0</v>
      </c>
      <c r="N24" s="22">
        <f t="shared" si="27"/>
        <v>0</v>
      </c>
      <c r="O24" s="22">
        <f t="shared" si="27"/>
        <v>0</v>
      </c>
      <c r="P24" s="22">
        <f t="shared" si="27"/>
        <v>0</v>
      </c>
      <c r="Q24" s="22">
        <f t="shared" si="27"/>
        <v>0</v>
      </c>
      <c r="R24" s="22">
        <f t="shared" si="27"/>
        <v>0</v>
      </c>
      <c r="S24" s="22">
        <f t="shared" si="27"/>
        <v>0</v>
      </c>
      <c r="T24" s="22">
        <f t="shared" si="27"/>
        <v>0</v>
      </c>
      <c r="U24" s="22">
        <f t="shared" si="27"/>
        <v>0</v>
      </c>
      <c r="V24" s="22">
        <f t="shared" si="27"/>
        <v>0</v>
      </c>
      <c r="W24" s="22">
        <f t="shared" si="27"/>
        <v>6</v>
      </c>
      <c r="X24" s="22">
        <f t="shared" si="27"/>
        <v>72</v>
      </c>
      <c r="Y24" s="22">
        <f t="shared" si="27"/>
        <v>50.399999999999991</v>
      </c>
      <c r="Z24" s="22">
        <f t="shared" si="27"/>
        <v>15</v>
      </c>
      <c r="AA24" s="22">
        <f t="shared" si="27"/>
        <v>252</v>
      </c>
      <c r="AB24" s="22">
        <f t="shared" si="27"/>
        <v>125.99999999999999</v>
      </c>
      <c r="AC24" s="22">
        <f t="shared" si="27"/>
        <v>0</v>
      </c>
      <c r="AD24" s="22">
        <f t="shared" si="27"/>
        <v>0</v>
      </c>
      <c r="AE24" s="22">
        <f t="shared" si="27"/>
        <v>0</v>
      </c>
      <c r="AF24" s="22">
        <f t="shared" si="27"/>
        <v>0</v>
      </c>
      <c r="AG24" s="22">
        <f t="shared" si="27"/>
        <v>0</v>
      </c>
      <c r="AH24" s="22">
        <f t="shared" si="27"/>
        <v>0</v>
      </c>
      <c r="AI24" s="22">
        <f t="shared" si="27"/>
        <v>0</v>
      </c>
      <c r="AJ24" s="22">
        <f t="shared" si="27"/>
        <v>0</v>
      </c>
      <c r="AK24" s="22">
        <f t="shared" si="27"/>
        <v>0</v>
      </c>
      <c r="AL24" s="22">
        <f t="shared" si="27"/>
        <v>0</v>
      </c>
      <c r="AM24" s="22">
        <f t="shared" si="27"/>
        <v>0</v>
      </c>
      <c r="AN24" s="22">
        <f t="shared" si="27"/>
        <v>0</v>
      </c>
      <c r="AO24" s="22">
        <f t="shared" si="27"/>
        <v>0</v>
      </c>
      <c r="AP24" s="22">
        <f t="shared" si="27"/>
        <v>0</v>
      </c>
      <c r="AQ24" s="22">
        <f t="shared" si="27"/>
        <v>0</v>
      </c>
    </row>
    <row r="25" spans="1:43" s="44" customFormat="1" ht="25.15" customHeight="1" x14ac:dyDescent="0.5">
      <c r="A25" s="45"/>
      <c r="B25" s="242" t="s">
        <v>49</v>
      </c>
      <c r="C25" s="243"/>
      <c r="D25" s="244"/>
      <c r="E25" s="38">
        <f t="shared" ref="E25:F25" si="28">E13+E24</f>
        <v>293</v>
      </c>
      <c r="F25" s="38">
        <f t="shared" si="28"/>
        <v>4618</v>
      </c>
      <c r="G25" s="38">
        <f>G13+G24</f>
        <v>3055.6</v>
      </c>
      <c r="H25" s="38">
        <f t="shared" ref="H25" si="29">H13+H24</f>
        <v>255</v>
      </c>
      <c r="I25" s="38"/>
      <c r="J25" s="37">
        <f t="shared" ref="J25:K25" si="30">J13+J24</f>
        <v>2636.8</v>
      </c>
      <c r="K25" s="38">
        <f t="shared" si="30"/>
        <v>238</v>
      </c>
      <c r="L25" s="38"/>
      <c r="M25" s="37">
        <f t="shared" ref="M25:N25" si="31">M13+M24</f>
        <v>2260.48</v>
      </c>
      <c r="N25" s="38">
        <f t="shared" si="31"/>
        <v>327</v>
      </c>
      <c r="O25" s="38"/>
      <c r="P25" s="37">
        <f t="shared" ref="P25:Q25" si="32">P13+P24</f>
        <v>3398.88</v>
      </c>
      <c r="Q25" s="38">
        <f t="shared" si="32"/>
        <v>426</v>
      </c>
      <c r="R25" s="38"/>
      <c r="S25" s="37">
        <f t="shared" ref="S25:T25" si="33">S13+S24</f>
        <v>4054.0000000000005</v>
      </c>
      <c r="T25" s="38">
        <f t="shared" si="33"/>
        <v>185</v>
      </c>
      <c r="U25" s="38"/>
      <c r="V25" s="37">
        <f t="shared" ref="V25:W25" si="34">V13+V24</f>
        <v>2084</v>
      </c>
      <c r="W25" s="38">
        <f t="shared" si="34"/>
        <v>403</v>
      </c>
      <c r="X25" s="38"/>
      <c r="Y25" s="37">
        <f t="shared" ref="Y25:Z25" si="35">Y13+Y24</f>
        <v>4090.4</v>
      </c>
      <c r="Z25" s="38">
        <f t="shared" si="35"/>
        <v>365</v>
      </c>
      <c r="AA25" s="38"/>
      <c r="AB25" s="37">
        <f t="shared" ref="AB25:AC25" si="36">AB13+AB24</f>
        <v>3644</v>
      </c>
      <c r="AC25" s="38">
        <f t="shared" si="36"/>
        <v>280</v>
      </c>
      <c r="AD25" s="38"/>
      <c r="AE25" s="37">
        <f t="shared" ref="AE25:AF25" si="37">AE13+AE24</f>
        <v>2939.6</v>
      </c>
      <c r="AF25" s="38">
        <f t="shared" si="37"/>
        <v>261</v>
      </c>
      <c r="AG25" s="38"/>
      <c r="AH25" s="37">
        <f t="shared" ref="AH25:AI25" si="38">AH13+AH24</f>
        <v>2462.16</v>
      </c>
      <c r="AI25" s="38">
        <f t="shared" si="38"/>
        <v>241</v>
      </c>
      <c r="AJ25" s="38"/>
      <c r="AK25" s="37">
        <f t="shared" ref="AK25:AL25" si="39">AK13+AK24</f>
        <v>2518.4</v>
      </c>
      <c r="AL25" s="38">
        <f t="shared" si="39"/>
        <v>325</v>
      </c>
      <c r="AM25" s="38"/>
      <c r="AN25" s="37">
        <f t="shared" ref="AN25:AO25" si="40">AN13+AN24</f>
        <v>3360</v>
      </c>
      <c r="AO25" s="38">
        <f t="shared" si="40"/>
        <v>3578</v>
      </c>
      <c r="AP25" s="38"/>
      <c r="AQ25" s="37">
        <f t="shared" ref="AQ25" si="41">AQ13+AQ24</f>
        <v>36302.720000000008</v>
      </c>
    </row>
    <row r="29" spans="1:43" ht="25.15" customHeight="1" x14ac:dyDescent="0.5">
      <c r="B29" s="41" t="s">
        <v>104</v>
      </c>
    </row>
    <row r="30" spans="1:43" ht="15" customHeight="1" x14ac:dyDescent="0.5"/>
    <row r="31" spans="1:43" ht="42.75" customHeight="1" x14ac:dyDescent="0.5">
      <c r="A31" s="245" t="s">
        <v>52</v>
      </c>
      <c r="B31" s="245" t="s">
        <v>51</v>
      </c>
      <c r="C31" s="247" t="s">
        <v>117</v>
      </c>
      <c r="D31" s="247" t="s">
        <v>95</v>
      </c>
      <c r="E31" s="236" t="s">
        <v>114</v>
      </c>
      <c r="F31" s="237"/>
      <c r="G31" s="238"/>
      <c r="H31" s="236" t="s">
        <v>58</v>
      </c>
      <c r="I31" s="237"/>
      <c r="J31" s="238"/>
      <c r="K31" s="236" t="s">
        <v>59</v>
      </c>
      <c r="L31" s="237"/>
      <c r="M31" s="238"/>
      <c r="N31" s="236" t="s">
        <v>60</v>
      </c>
      <c r="O31" s="237"/>
      <c r="P31" s="238"/>
      <c r="Q31" s="236" t="s">
        <v>61</v>
      </c>
      <c r="R31" s="237"/>
      <c r="S31" s="238"/>
      <c r="T31" s="236" t="s">
        <v>62</v>
      </c>
      <c r="U31" s="237"/>
      <c r="V31" s="238"/>
      <c r="W31" s="236" t="s">
        <v>63</v>
      </c>
      <c r="X31" s="237"/>
      <c r="Y31" s="238"/>
      <c r="Z31" s="236" t="s">
        <v>64</v>
      </c>
      <c r="AA31" s="237"/>
      <c r="AB31" s="238"/>
      <c r="AC31" s="236" t="s">
        <v>65</v>
      </c>
      <c r="AD31" s="237"/>
      <c r="AE31" s="238"/>
      <c r="AF31" s="236" t="s">
        <v>18</v>
      </c>
      <c r="AG31" s="237"/>
      <c r="AH31" s="238"/>
      <c r="AI31" s="236" t="s">
        <v>17</v>
      </c>
      <c r="AJ31" s="237"/>
      <c r="AK31" s="238"/>
      <c r="AL31" s="236" t="s">
        <v>16</v>
      </c>
      <c r="AM31" s="237"/>
      <c r="AN31" s="238"/>
      <c r="AO31" s="236" t="s">
        <v>134</v>
      </c>
      <c r="AP31" s="237"/>
      <c r="AQ31" s="238"/>
    </row>
    <row r="32" spans="1:43" ht="25.15" customHeight="1" x14ac:dyDescent="0.5">
      <c r="A32" s="246"/>
      <c r="B32" s="246"/>
      <c r="C32" s="248"/>
      <c r="D32" s="248"/>
      <c r="E32" s="40" t="s">
        <v>50</v>
      </c>
      <c r="F32" s="40" t="s">
        <v>56</v>
      </c>
      <c r="G32" s="40" t="s">
        <v>93</v>
      </c>
      <c r="H32" s="40" t="s">
        <v>50</v>
      </c>
      <c r="I32" s="40" t="s">
        <v>56</v>
      </c>
      <c r="J32" s="40" t="s">
        <v>57</v>
      </c>
      <c r="K32" s="40" t="s">
        <v>50</v>
      </c>
      <c r="L32" s="40" t="s">
        <v>56</v>
      </c>
      <c r="M32" s="40" t="s">
        <v>57</v>
      </c>
      <c r="N32" s="40" t="s">
        <v>50</v>
      </c>
      <c r="O32" s="40" t="s">
        <v>56</v>
      </c>
      <c r="P32" s="40" t="s">
        <v>57</v>
      </c>
      <c r="Q32" s="40" t="s">
        <v>50</v>
      </c>
      <c r="R32" s="40" t="s">
        <v>56</v>
      </c>
      <c r="S32" s="40" t="s">
        <v>57</v>
      </c>
      <c r="T32" s="40" t="s">
        <v>50</v>
      </c>
      <c r="U32" s="40" t="s">
        <v>56</v>
      </c>
      <c r="V32" s="40" t="s">
        <v>57</v>
      </c>
      <c r="W32" s="40" t="s">
        <v>50</v>
      </c>
      <c r="X32" s="40" t="s">
        <v>56</v>
      </c>
      <c r="Y32" s="40" t="s">
        <v>57</v>
      </c>
      <c r="Z32" s="40" t="s">
        <v>50</v>
      </c>
      <c r="AA32" s="40" t="s">
        <v>56</v>
      </c>
      <c r="AB32" s="40" t="s">
        <v>57</v>
      </c>
      <c r="AC32" s="40" t="s">
        <v>50</v>
      </c>
      <c r="AD32" s="40" t="s">
        <v>56</v>
      </c>
      <c r="AE32" s="40" t="s">
        <v>57</v>
      </c>
      <c r="AF32" s="40" t="s">
        <v>50</v>
      </c>
      <c r="AG32" s="40" t="s">
        <v>56</v>
      </c>
      <c r="AH32" s="40" t="s">
        <v>57</v>
      </c>
      <c r="AI32" s="40" t="s">
        <v>50</v>
      </c>
      <c r="AJ32" s="40" t="s">
        <v>56</v>
      </c>
      <c r="AK32" s="40" t="s">
        <v>57</v>
      </c>
      <c r="AL32" s="40" t="s">
        <v>50</v>
      </c>
      <c r="AM32" s="40" t="s">
        <v>56</v>
      </c>
      <c r="AN32" s="40" t="s">
        <v>57</v>
      </c>
      <c r="AO32" s="40" t="s">
        <v>50</v>
      </c>
      <c r="AP32" s="40" t="s">
        <v>56</v>
      </c>
      <c r="AQ32" s="40" t="s">
        <v>57</v>
      </c>
    </row>
    <row r="33" spans="1:43" s="43" customFormat="1" ht="20.100000000000001" customHeight="1" x14ac:dyDescent="0.5">
      <c r="A33" s="29">
        <v>1</v>
      </c>
      <c r="B33" s="1" t="s">
        <v>67</v>
      </c>
      <c r="C33" s="34">
        <v>0.7</v>
      </c>
      <c r="D33" s="34" t="s">
        <v>96</v>
      </c>
      <c r="E33" s="29">
        <v>33</v>
      </c>
      <c r="F33" s="29">
        <v>396</v>
      </c>
      <c r="G33" s="29">
        <f>F33*C33</f>
        <v>277.2</v>
      </c>
      <c r="H33" s="29">
        <v>30</v>
      </c>
      <c r="I33" s="29">
        <v>360</v>
      </c>
      <c r="J33" s="29">
        <f>I33*C33</f>
        <v>251.99999999999997</v>
      </c>
      <c r="K33" s="29">
        <v>40</v>
      </c>
      <c r="L33" s="29">
        <v>480</v>
      </c>
      <c r="M33" s="29">
        <f>L33*C33</f>
        <v>336</v>
      </c>
      <c r="N33" s="29">
        <v>3</v>
      </c>
      <c r="O33" s="29">
        <v>36</v>
      </c>
      <c r="P33" s="57">
        <f t="shared" ref="P33:P38" si="42">O33*C33</f>
        <v>25.2</v>
      </c>
      <c r="Q33" s="29">
        <v>28</v>
      </c>
      <c r="R33" s="29">
        <v>336</v>
      </c>
      <c r="S33" s="29">
        <f>R33*C33</f>
        <v>235.2</v>
      </c>
      <c r="T33" s="29">
        <v>3</v>
      </c>
      <c r="U33" s="29">
        <v>36</v>
      </c>
      <c r="V33" s="29">
        <f>U33*C33</f>
        <v>25.2</v>
      </c>
      <c r="W33" s="29">
        <v>3</v>
      </c>
      <c r="X33" s="29">
        <v>36</v>
      </c>
      <c r="Y33" s="29">
        <f>X33*C33</f>
        <v>25.2</v>
      </c>
      <c r="Z33" s="29">
        <v>37</v>
      </c>
      <c r="AA33" s="29">
        <v>444</v>
      </c>
      <c r="AB33" s="29">
        <v>310.79999999999995</v>
      </c>
      <c r="AC33" s="29">
        <v>8</v>
      </c>
      <c r="AD33" s="29">
        <v>96</v>
      </c>
      <c r="AE33" s="29">
        <v>67.2</v>
      </c>
      <c r="AF33" s="29"/>
      <c r="AG33" s="29"/>
      <c r="AH33" s="29"/>
      <c r="AI33" s="29">
        <v>30</v>
      </c>
      <c r="AJ33" s="29">
        <v>360</v>
      </c>
      <c r="AK33" s="29">
        <v>251.99999999999997</v>
      </c>
      <c r="AL33" s="29"/>
      <c r="AM33" s="29"/>
      <c r="AN33" s="29"/>
      <c r="AO33" s="29"/>
      <c r="AP33" s="29"/>
      <c r="AQ33" s="29"/>
    </row>
    <row r="34" spans="1:43" s="43" customFormat="1" ht="20.100000000000001" customHeight="1" x14ac:dyDescent="0.5">
      <c r="A34" s="29">
        <v>2</v>
      </c>
      <c r="B34" s="1" t="s">
        <v>118</v>
      </c>
      <c r="C34" s="34">
        <v>0.64</v>
      </c>
      <c r="D34" s="34" t="s">
        <v>119</v>
      </c>
      <c r="E34" s="29">
        <v>290</v>
      </c>
      <c r="F34" s="29">
        <v>4060</v>
      </c>
      <c r="G34" s="29">
        <f>F34*C34</f>
        <v>2598.4</v>
      </c>
      <c r="H34" s="29">
        <v>265</v>
      </c>
      <c r="I34" s="29">
        <v>3710</v>
      </c>
      <c r="J34" s="29">
        <f>I34*C34</f>
        <v>2374.4</v>
      </c>
      <c r="K34" s="29">
        <v>335</v>
      </c>
      <c r="L34" s="29">
        <v>4690</v>
      </c>
      <c r="M34" s="29">
        <f>L34*C34</f>
        <v>3001.6</v>
      </c>
      <c r="N34" s="29">
        <v>200</v>
      </c>
      <c r="O34" s="29">
        <v>2800</v>
      </c>
      <c r="P34" s="57">
        <f t="shared" si="42"/>
        <v>1792</v>
      </c>
      <c r="Q34" s="29">
        <v>325</v>
      </c>
      <c r="R34" s="29">
        <v>4550</v>
      </c>
      <c r="S34" s="29">
        <f t="shared" ref="S34:S39" si="43">R34*C34</f>
        <v>2912</v>
      </c>
      <c r="T34" s="29">
        <v>250</v>
      </c>
      <c r="U34" s="29">
        <v>3500</v>
      </c>
      <c r="V34" s="29">
        <f t="shared" ref="V34:V39" si="44">U34*C34</f>
        <v>2240</v>
      </c>
      <c r="W34" s="29">
        <v>255</v>
      </c>
      <c r="X34" s="29">
        <v>3570</v>
      </c>
      <c r="Y34" s="29">
        <f t="shared" ref="Y34:Y39" si="45">X34*C34</f>
        <v>2284.8000000000002</v>
      </c>
      <c r="Z34" s="29">
        <v>135</v>
      </c>
      <c r="AA34" s="29">
        <v>1890</v>
      </c>
      <c r="AB34" s="29">
        <v>1209.5999999999999</v>
      </c>
      <c r="AC34" s="29">
        <v>195</v>
      </c>
      <c r="AD34" s="29">
        <v>2730</v>
      </c>
      <c r="AE34" s="29">
        <v>1747.1999999999998</v>
      </c>
      <c r="AF34" s="29">
        <v>95</v>
      </c>
      <c r="AG34" s="29">
        <v>1330</v>
      </c>
      <c r="AH34" s="29">
        <v>851.2</v>
      </c>
      <c r="AI34" s="29">
        <v>325</v>
      </c>
      <c r="AJ34" s="29">
        <v>4550</v>
      </c>
      <c r="AK34" s="29">
        <v>2912</v>
      </c>
      <c r="AL34" s="29"/>
      <c r="AM34" s="29"/>
      <c r="AN34" s="29"/>
      <c r="AO34" s="29"/>
      <c r="AP34" s="29"/>
      <c r="AQ34" s="29"/>
    </row>
    <row r="35" spans="1:43" ht="20.100000000000001" customHeight="1" x14ac:dyDescent="0.5">
      <c r="A35" s="29">
        <v>3</v>
      </c>
      <c r="B35" s="1" t="s">
        <v>69</v>
      </c>
      <c r="C35" s="30">
        <v>1</v>
      </c>
      <c r="D35" s="30" t="s">
        <v>96</v>
      </c>
      <c r="E35" s="28">
        <v>10</v>
      </c>
      <c r="F35" s="28">
        <v>120</v>
      </c>
      <c r="G35" s="29">
        <f t="shared" ref="G35:G39" si="46">F35*C35</f>
        <v>120</v>
      </c>
      <c r="H35" s="28">
        <v>10</v>
      </c>
      <c r="I35" s="28">
        <v>120</v>
      </c>
      <c r="J35" s="29">
        <f t="shared" ref="J35:J39" si="47">I35*C35</f>
        <v>120</v>
      </c>
      <c r="K35" s="28">
        <v>10</v>
      </c>
      <c r="L35" s="28">
        <v>120</v>
      </c>
      <c r="M35" s="29">
        <f t="shared" ref="M35:M39" si="48">L35*C35</f>
        <v>120</v>
      </c>
      <c r="N35" s="28"/>
      <c r="O35" s="28"/>
      <c r="P35" s="57">
        <f t="shared" si="42"/>
        <v>0</v>
      </c>
      <c r="Q35" s="28">
        <v>10</v>
      </c>
      <c r="R35" s="28">
        <v>120</v>
      </c>
      <c r="S35" s="29">
        <f t="shared" si="43"/>
        <v>120</v>
      </c>
      <c r="T35" s="28"/>
      <c r="U35" s="28"/>
      <c r="V35" s="29">
        <f t="shared" si="44"/>
        <v>0</v>
      </c>
      <c r="W35" s="28"/>
      <c r="X35" s="28"/>
      <c r="Y35" s="29">
        <f t="shared" si="45"/>
        <v>0</v>
      </c>
      <c r="Z35" s="28"/>
      <c r="AA35" s="28"/>
      <c r="AB35" s="28"/>
      <c r="AC35" s="28"/>
      <c r="AD35" s="28"/>
      <c r="AE35" s="28"/>
      <c r="AF35" s="28"/>
      <c r="AG35" s="28"/>
      <c r="AH35" s="28"/>
      <c r="AI35" s="28">
        <v>10</v>
      </c>
      <c r="AJ35" s="28">
        <v>120</v>
      </c>
      <c r="AK35" s="28">
        <v>120</v>
      </c>
      <c r="AL35" s="28"/>
      <c r="AM35" s="28"/>
      <c r="AN35" s="28"/>
      <c r="AO35" s="28"/>
      <c r="AP35" s="28"/>
      <c r="AQ35" s="28"/>
    </row>
    <row r="36" spans="1:43" ht="20.100000000000001" customHeight="1" x14ac:dyDescent="0.5">
      <c r="A36" s="29">
        <v>4</v>
      </c>
      <c r="B36" s="1" t="s">
        <v>73</v>
      </c>
      <c r="C36" s="30">
        <v>0.64</v>
      </c>
      <c r="D36" s="30" t="s">
        <v>99</v>
      </c>
      <c r="E36" s="28"/>
      <c r="F36" s="28"/>
      <c r="G36" s="29">
        <f t="shared" si="46"/>
        <v>0</v>
      </c>
      <c r="H36" s="28"/>
      <c r="I36" s="28"/>
      <c r="J36" s="29">
        <f t="shared" si="47"/>
        <v>0</v>
      </c>
      <c r="K36" s="28"/>
      <c r="L36" s="28"/>
      <c r="M36" s="29">
        <f t="shared" si="48"/>
        <v>0</v>
      </c>
      <c r="N36" s="28"/>
      <c r="O36" s="28"/>
      <c r="P36" s="57">
        <f t="shared" si="42"/>
        <v>0</v>
      </c>
      <c r="Q36" s="28"/>
      <c r="R36" s="28"/>
      <c r="S36" s="29">
        <f t="shared" si="43"/>
        <v>0</v>
      </c>
      <c r="T36" s="28"/>
      <c r="U36" s="28"/>
      <c r="V36" s="29">
        <f t="shared" si="44"/>
        <v>0</v>
      </c>
      <c r="W36" s="28"/>
      <c r="X36" s="28"/>
      <c r="Y36" s="29">
        <f t="shared" si="45"/>
        <v>0</v>
      </c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>
        <v>150</v>
      </c>
      <c r="AM36" s="28">
        <v>2100</v>
      </c>
      <c r="AN36" s="28">
        <v>1344</v>
      </c>
      <c r="AO36" s="28"/>
      <c r="AP36" s="28"/>
      <c r="AQ36" s="28"/>
    </row>
    <row r="37" spans="1:43" ht="20.100000000000001" customHeight="1" x14ac:dyDescent="0.5">
      <c r="A37" s="29">
        <v>5</v>
      </c>
      <c r="B37" s="1" t="s">
        <v>9</v>
      </c>
      <c r="C37" s="30">
        <v>0.64</v>
      </c>
      <c r="D37" s="30" t="s">
        <v>99</v>
      </c>
      <c r="E37" s="28">
        <v>30</v>
      </c>
      <c r="F37" s="28">
        <v>420</v>
      </c>
      <c r="G37" s="29">
        <f t="shared" si="46"/>
        <v>268.8</v>
      </c>
      <c r="H37" s="28">
        <v>20</v>
      </c>
      <c r="I37" s="28">
        <v>280</v>
      </c>
      <c r="J37" s="29">
        <f t="shared" si="47"/>
        <v>179.20000000000002</v>
      </c>
      <c r="K37" s="28">
        <v>20</v>
      </c>
      <c r="L37" s="28">
        <v>280</v>
      </c>
      <c r="M37" s="29">
        <v>179.20000000000002</v>
      </c>
      <c r="N37" s="28">
        <v>30</v>
      </c>
      <c r="O37" s="28">
        <v>420</v>
      </c>
      <c r="P37" s="57">
        <f t="shared" si="42"/>
        <v>268.8</v>
      </c>
      <c r="Q37" s="28">
        <v>20</v>
      </c>
      <c r="R37" s="28">
        <v>280</v>
      </c>
      <c r="S37" s="29">
        <f t="shared" si="43"/>
        <v>179.20000000000002</v>
      </c>
      <c r="T37" s="28">
        <v>20</v>
      </c>
      <c r="U37" s="28">
        <v>280</v>
      </c>
      <c r="V37" s="29">
        <f t="shared" si="44"/>
        <v>179.20000000000002</v>
      </c>
      <c r="W37" s="28">
        <v>15</v>
      </c>
      <c r="X37" s="28">
        <v>210</v>
      </c>
      <c r="Y37" s="29">
        <f t="shared" si="45"/>
        <v>134.4</v>
      </c>
      <c r="Z37" s="28">
        <v>20</v>
      </c>
      <c r="AA37" s="28">
        <v>280</v>
      </c>
      <c r="AB37" s="28">
        <v>179.20000000000002</v>
      </c>
      <c r="AC37" s="28">
        <v>20</v>
      </c>
      <c r="AD37" s="28">
        <v>280</v>
      </c>
      <c r="AE37" s="28">
        <v>179.20000000000002</v>
      </c>
      <c r="AF37" s="28">
        <v>20</v>
      </c>
      <c r="AG37" s="28">
        <v>280</v>
      </c>
      <c r="AH37" s="28">
        <v>179.20000000000002</v>
      </c>
      <c r="AI37" s="28">
        <v>25</v>
      </c>
      <c r="AJ37" s="28">
        <v>350</v>
      </c>
      <c r="AK37" s="28">
        <v>224</v>
      </c>
      <c r="AL37" s="28">
        <v>30</v>
      </c>
      <c r="AM37" s="28">
        <v>420</v>
      </c>
      <c r="AN37" s="28">
        <v>268.8</v>
      </c>
      <c r="AO37" s="28"/>
      <c r="AP37" s="28"/>
      <c r="AQ37" s="28"/>
    </row>
    <row r="38" spans="1:43" ht="20.100000000000001" customHeight="1" x14ac:dyDescent="0.5">
      <c r="A38" s="29">
        <v>6</v>
      </c>
      <c r="B38" s="1" t="s">
        <v>91</v>
      </c>
      <c r="C38" s="30">
        <v>0.64</v>
      </c>
      <c r="D38" s="30" t="s">
        <v>99</v>
      </c>
      <c r="E38" s="57"/>
      <c r="F38" s="57"/>
      <c r="G38" s="29"/>
      <c r="H38" s="57">
        <v>5</v>
      </c>
      <c r="I38" s="57">
        <v>70</v>
      </c>
      <c r="J38" s="29">
        <f t="shared" si="47"/>
        <v>44.800000000000004</v>
      </c>
      <c r="K38" s="57">
        <v>5</v>
      </c>
      <c r="L38" s="57">
        <v>70</v>
      </c>
      <c r="M38" s="29">
        <f t="shared" si="48"/>
        <v>44.800000000000004</v>
      </c>
      <c r="N38" s="57">
        <v>5</v>
      </c>
      <c r="O38" s="57">
        <v>70</v>
      </c>
      <c r="P38" s="57">
        <f t="shared" si="42"/>
        <v>44.800000000000004</v>
      </c>
      <c r="Q38" s="57">
        <v>5</v>
      </c>
      <c r="R38" s="57">
        <v>70</v>
      </c>
      <c r="S38" s="29">
        <f t="shared" si="43"/>
        <v>44.800000000000004</v>
      </c>
      <c r="T38" s="57">
        <v>5</v>
      </c>
      <c r="U38" s="57">
        <v>70</v>
      </c>
      <c r="V38" s="29">
        <f t="shared" si="44"/>
        <v>44.800000000000004</v>
      </c>
      <c r="W38" s="57">
        <v>60</v>
      </c>
      <c r="X38" s="57">
        <v>1440</v>
      </c>
      <c r="Y38" s="29">
        <f t="shared" si="45"/>
        <v>921.6</v>
      </c>
      <c r="Z38" s="57">
        <v>5</v>
      </c>
      <c r="AA38" s="57">
        <v>70</v>
      </c>
      <c r="AB38" s="57">
        <v>44.800000000000004</v>
      </c>
      <c r="AC38" s="57">
        <v>5</v>
      </c>
      <c r="AD38" s="57">
        <v>70</v>
      </c>
      <c r="AE38" s="57">
        <v>44.800000000000004</v>
      </c>
      <c r="AF38" s="57">
        <v>10</v>
      </c>
      <c r="AG38" s="57">
        <v>140</v>
      </c>
      <c r="AH38" s="57">
        <v>89.600000000000009</v>
      </c>
      <c r="AI38" s="57">
        <v>8</v>
      </c>
      <c r="AJ38" s="57">
        <v>112</v>
      </c>
      <c r="AK38" s="57">
        <v>71.680000000000007</v>
      </c>
      <c r="AL38" s="57">
        <v>15</v>
      </c>
      <c r="AM38" s="57">
        <v>210</v>
      </c>
      <c r="AN38" s="57">
        <v>134.4</v>
      </c>
      <c r="AO38" s="57"/>
      <c r="AP38" s="57"/>
      <c r="AQ38" s="57"/>
    </row>
    <row r="39" spans="1:43" ht="20.100000000000001" customHeight="1" x14ac:dyDescent="0.5">
      <c r="A39" s="29">
        <v>8</v>
      </c>
      <c r="B39" s="1" t="s">
        <v>92</v>
      </c>
      <c r="C39" s="30">
        <v>0.64</v>
      </c>
      <c r="D39" s="1" t="s">
        <v>98</v>
      </c>
      <c r="E39" s="57">
        <v>20</v>
      </c>
      <c r="F39" s="57">
        <v>480</v>
      </c>
      <c r="G39" s="29">
        <f t="shared" si="46"/>
        <v>307.2</v>
      </c>
      <c r="H39" s="57">
        <v>50</v>
      </c>
      <c r="I39" s="57">
        <v>1200</v>
      </c>
      <c r="J39" s="29">
        <f t="shared" si="47"/>
        <v>768</v>
      </c>
      <c r="K39" s="57">
        <v>10</v>
      </c>
      <c r="L39" s="57">
        <v>240</v>
      </c>
      <c r="M39" s="29">
        <f t="shared" si="48"/>
        <v>153.6</v>
      </c>
      <c r="N39" s="57">
        <v>60</v>
      </c>
      <c r="O39" s="57">
        <v>1440</v>
      </c>
      <c r="P39" s="57">
        <f>O39*C39</f>
        <v>921.6</v>
      </c>
      <c r="Q39" s="57">
        <v>20</v>
      </c>
      <c r="R39" s="57">
        <v>480</v>
      </c>
      <c r="S39" s="29">
        <f t="shared" si="43"/>
        <v>307.2</v>
      </c>
      <c r="T39" s="57">
        <v>60</v>
      </c>
      <c r="U39" s="57">
        <v>1440</v>
      </c>
      <c r="V39" s="29">
        <f t="shared" si="44"/>
        <v>921.6</v>
      </c>
      <c r="W39" s="57"/>
      <c r="X39" s="57"/>
      <c r="Y39" s="29">
        <f t="shared" si="45"/>
        <v>0</v>
      </c>
      <c r="Z39" s="57">
        <v>10</v>
      </c>
      <c r="AA39" s="57">
        <v>240</v>
      </c>
      <c r="AB39" s="57">
        <v>153.6</v>
      </c>
      <c r="AC39" s="57">
        <v>60</v>
      </c>
      <c r="AD39" s="57">
        <v>1440</v>
      </c>
      <c r="AE39" s="57">
        <v>921.6</v>
      </c>
      <c r="AF39" s="57">
        <v>10</v>
      </c>
      <c r="AG39" s="57">
        <v>240</v>
      </c>
      <c r="AH39" s="57">
        <v>153.6</v>
      </c>
      <c r="AI39" s="57">
        <v>60</v>
      </c>
      <c r="AJ39" s="57">
        <v>1440</v>
      </c>
      <c r="AK39" s="57">
        <v>921.6</v>
      </c>
      <c r="AL39" s="57">
        <v>10</v>
      </c>
      <c r="AM39" s="57">
        <v>240</v>
      </c>
      <c r="AN39" s="57">
        <v>153.6</v>
      </c>
      <c r="AO39" s="57"/>
      <c r="AP39" s="57"/>
      <c r="AQ39" s="57"/>
    </row>
    <row r="40" spans="1:43" s="41" customFormat="1" ht="20.100000000000001" customHeight="1" x14ac:dyDescent="0.5">
      <c r="A40" s="24"/>
      <c r="B40" s="239" t="s">
        <v>10</v>
      </c>
      <c r="C40" s="240"/>
      <c r="D40" s="241"/>
      <c r="E40" s="22">
        <f t="shared" ref="E40:AN40" si="49">SUM(E33:E39)</f>
        <v>383</v>
      </c>
      <c r="F40" s="22">
        <f t="shared" si="49"/>
        <v>5476</v>
      </c>
      <c r="G40" s="22">
        <f t="shared" si="49"/>
        <v>3571.6</v>
      </c>
      <c r="H40" s="22">
        <f t="shared" si="49"/>
        <v>380</v>
      </c>
      <c r="I40" s="22">
        <f t="shared" si="49"/>
        <v>5740</v>
      </c>
      <c r="J40" s="22">
        <f t="shared" si="49"/>
        <v>3738.4</v>
      </c>
      <c r="K40" s="22">
        <f t="shared" si="49"/>
        <v>420</v>
      </c>
      <c r="L40" s="22">
        <f t="shared" si="49"/>
        <v>5880</v>
      </c>
      <c r="M40" s="22">
        <f t="shared" si="49"/>
        <v>3835.2</v>
      </c>
      <c r="N40" s="22">
        <f t="shared" si="49"/>
        <v>298</v>
      </c>
      <c r="O40" s="22">
        <f t="shared" si="49"/>
        <v>4766</v>
      </c>
      <c r="P40" s="22">
        <f t="shared" si="49"/>
        <v>3052.4</v>
      </c>
      <c r="Q40" s="22">
        <f t="shared" si="49"/>
        <v>408</v>
      </c>
      <c r="R40" s="22">
        <f t="shared" si="49"/>
        <v>5836</v>
      </c>
      <c r="S40" s="22">
        <f t="shared" si="49"/>
        <v>3798.3999999999996</v>
      </c>
      <c r="T40" s="22">
        <f t="shared" si="49"/>
        <v>338</v>
      </c>
      <c r="U40" s="22">
        <f t="shared" si="49"/>
        <v>5326</v>
      </c>
      <c r="V40" s="22">
        <f t="shared" si="49"/>
        <v>3410.7999999999997</v>
      </c>
      <c r="W40" s="22">
        <f t="shared" si="49"/>
        <v>333</v>
      </c>
      <c r="X40" s="22">
        <f t="shared" si="49"/>
        <v>5256</v>
      </c>
      <c r="Y40" s="22">
        <f t="shared" si="49"/>
        <v>3366</v>
      </c>
      <c r="Z40" s="22">
        <f>SUM(Z33:Z39)</f>
        <v>207</v>
      </c>
      <c r="AA40" s="22">
        <f t="shared" si="49"/>
        <v>2924</v>
      </c>
      <c r="AB40" s="22">
        <f t="shared" si="49"/>
        <v>1897.9999999999998</v>
      </c>
      <c r="AC40" s="22">
        <f t="shared" si="49"/>
        <v>288</v>
      </c>
      <c r="AD40" s="22">
        <f t="shared" si="49"/>
        <v>4616</v>
      </c>
      <c r="AE40" s="22">
        <f t="shared" si="49"/>
        <v>2960</v>
      </c>
      <c r="AF40" s="22">
        <f t="shared" si="49"/>
        <v>135</v>
      </c>
      <c r="AG40" s="22">
        <f t="shared" si="49"/>
        <v>1990</v>
      </c>
      <c r="AH40" s="22">
        <f t="shared" si="49"/>
        <v>1273.5999999999999</v>
      </c>
      <c r="AI40" s="22">
        <f t="shared" si="49"/>
        <v>458</v>
      </c>
      <c r="AJ40" s="22">
        <f t="shared" si="49"/>
        <v>6932</v>
      </c>
      <c r="AK40" s="22">
        <f t="shared" si="49"/>
        <v>4501.28</v>
      </c>
      <c r="AL40" s="22">
        <f t="shared" si="49"/>
        <v>205</v>
      </c>
      <c r="AM40" s="22">
        <f t="shared" si="49"/>
        <v>2970</v>
      </c>
      <c r="AN40" s="22">
        <f t="shared" si="49"/>
        <v>1900.8</v>
      </c>
      <c r="AO40" s="22">
        <f t="shared" ref="AO40:AQ40" si="50">SUM(AO33:AO39)</f>
        <v>0</v>
      </c>
      <c r="AP40" s="22">
        <f t="shared" si="50"/>
        <v>0</v>
      </c>
      <c r="AQ40" s="22">
        <f t="shared" si="50"/>
        <v>0</v>
      </c>
    </row>
    <row r="41" spans="1:43" ht="24" customHeight="1" x14ac:dyDescent="0.5">
      <c r="A41" s="39"/>
      <c r="B41" s="30"/>
      <c r="C41" s="30"/>
      <c r="D41" s="30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ht="25.15" customHeight="1" x14ac:dyDescent="0.5">
      <c r="A42" s="39">
        <v>1</v>
      </c>
      <c r="B42" s="30" t="s">
        <v>6</v>
      </c>
      <c r="C42" s="1">
        <v>0.7</v>
      </c>
      <c r="D42" s="1" t="s">
        <v>96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>
        <f>X42*C42</f>
        <v>0</v>
      </c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</row>
    <row r="43" spans="1:43" ht="25.15" customHeight="1" x14ac:dyDescent="0.5">
      <c r="A43" s="39">
        <v>2</v>
      </c>
      <c r="B43" s="30" t="s">
        <v>5</v>
      </c>
      <c r="C43" s="1">
        <v>0.35</v>
      </c>
      <c r="D43" s="1" t="s">
        <v>98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>
        <f t="shared" ref="Y43:Y50" si="51">X43*C43</f>
        <v>0</v>
      </c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ht="25.15" customHeight="1" x14ac:dyDescent="0.5">
      <c r="A44" s="39">
        <v>3</v>
      </c>
      <c r="B44" s="30" t="s">
        <v>4</v>
      </c>
      <c r="C44" s="1">
        <v>0.17499999999999999</v>
      </c>
      <c r="D44" s="1" t="s">
        <v>100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>
        <f t="shared" si="51"/>
        <v>0</v>
      </c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</row>
    <row r="45" spans="1:43" ht="25.15" customHeight="1" x14ac:dyDescent="0.5">
      <c r="A45" s="39">
        <v>4</v>
      </c>
      <c r="B45" s="30" t="s">
        <v>3</v>
      </c>
      <c r="C45" s="1">
        <v>0.7</v>
      </c>
      <c r="D45" s="1" t="s">
        <v>96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>
        <f t="shared" si="51"/>
        <v>0</v>
      </c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</row>
    <row r="46" spans="1:43" ht="25.15" customHeight="1" x14ac:dyDescent="0.5">
      <c r="A46" s="39">
        <v>5</v>
      </c>
      <c r="B46" s="30" t="s">
        <v>2</v>
      </c>
      <c r="C46" s="1">
        <v>0.35</v>
      </c>
      <c r="D46" s="1" t="s">
        <v>98</v>
      </c>
      <c r="E46" s="29"/>
      <c r="F46" s="29"/>
      <c r="G46" s="29">
        <f>F46*C46</f>
        <v>0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>
        <f t="shared" si="51"/>
        <v>0</v>
      </c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</row>
    <row r="47" spans="1:43" ht="25.15" customHeight="1" x14ac:dyDescent="0.5">
      <c r="A47" s="39">
        <v>6</v>
      </c>
      <c r="B47" s="30" t="s">
        <v>1</v>
      </c>
      <c r="C47" s="1">
        <v>0.17499999999999999</v>
      </c>
      <c r="D47" s="1" t="s">
        <v>100</v>
      </c>
      <c r="E47" s="29"/>
      <c r="F47" s="29"/>
      <c r="G47" s="29">
        <f t="shared" ref="G47:G49" si="52">F47*C47</f>
        <v>0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>
        <f t="shared" si="51"/>
        <v>0</v>
      </c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</row>
    <row r="48" spans="1:43" ht="25.15" customHeight="1" x14ac:dyDescent="0.5">
      <c r="A48" s="39">
        <v>7</v>
      </c>
      <c r="B48" s="30" t="s">
        <v>0</v>
      </c>
      <c r="C48" s="1">
        <v>0.7</v>
      </c>
      <c r="D48" s="1" t="s">
        <v>96</v>
      </c>
      <c r="E48" s="29"/>
      <c r="F48" s="29"/>
      <c r="G48" s="29">
        <f t="shared" si="52"/>
        <v>0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>
        <f t="shared" si="51"/>
        <v>0</v>
      </c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</row>
    <row r="49" spans="1:43" ht="25.15" customHeight="1" x14ac:dyDescent="0.5">
      <c r="A49" s="39">
        <v>8</v>
      </c>
      <c r="B49" s="30" t="s">
        <v>8</v>
      </c>
      <c r="C49" s="1">
        <v>0.7</v>
      </c>
      <c r="D49" s="1" t="s">
        <v>96</v>
      </c>
      <c r="E49" s="29"/>
      <c r="F49" s="29"/>
      <c r="G49" s="29">
        <f t="shared" si="52"/>
        <v>0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>
        <f t="shared" si="51"/>
        <v>0</v>
      </c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</row>
    <row r="50" spans="1:43" ht="25.15" customHeight="1" x14ac:dyDescent="0.5">
      <c r="A50" s="39">
        <v>9</v>
      </c>
      <c r="B50" s="30" t="s">
        <v>7</v>
      </c>
      <c r="C50" s="1">
        <v>0.35</v>
      </c>
      <c r="D50" s="1" t="s">
        <v>98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>
        <f t="shared" si="51"/>
        <v>0</v>
      </c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</row>
    <row r="51" spans="1:43" ht="25.15" customHeight="1" x14ac:dyDescent="0.5">
      <c r="A51" s="46"/>
      <c r="B51" s="239" t="s">
        <v>10</v>
      </c>
      <c r="C51" s="240"/>
      <c r="D51" s="241"/>
      <c r="E51" s="22">
        <f t="shared" ref="E51:AN51" si="53">SUM(E42:E50)</f>
        <v>0</v>
      </c>
      <c r="F51" s="22">
        <f t="shared" si="53"/>
        <v>0</v>
      </c>
      <c r="G51" s="22">
        <f>SUM(G42:G50)</f>
        <v>0</v>
      </c>
      <c r="H51" s="22">
        <f t="shared" si="53"/>
        <v>0</v>
      </c>
      <c r="I51" s="22">
        <f t="shared" si="53"/>
        <v>0</v>
      </c>
      <c r="J51" s="22">
        <f t="shared" si="53"/>
        <v>0</v>
      </c>
      <c r="K51" s="22">
        <f t="shared" si="53"/>
        <v>0</v>
      </c>
      <c r="L51" s="22">
        <f t="shared" si="53"/>
        <v>0</v>
      </c>
      <c r="M51" s="22">
        <f t="shared" si="53"/>
        <v>0</v>
      </c>
      <c r="N51" s="22">
        <f t="shared" si="53"/>
        <v>0</v>
      </c>
      <c r="O51" s="22">
        <f t="shared" si="53"/>
        <v>0</v>
      </c>
      <c r="P51" s="22">
        <f t="shared" si="53"/>
        <v>0</v>
      </c>
      <c r="Q51" s="22">
        <f t="shared" si="53"/>
        <v>0</v>
      </c>
      <c r="R51" s="22">
        <f t="shared" si="53"/>
        <v>0</v>
      </c>
      <c r="S51" s="22">
        <f t="shared" si="53"/>
        <v>0</v>
      </c>
      <c r="T51" s="22">
        <f t="shared" si="53"/>
        <v>0</v>
      </c>
      <c r="U51" s="22">
        <f t="shared" si="53"/>
        <v>0</v>
      </c>
      <c r="V51" s="22">
        <f t="shared" si="53"/>
        <v>0</v>
      </c>
      <c r="W51" s="22">
        <f t="shared" si="53"/>
        <v>0</v>
      </c>
      <c r="X51" s="22">
        <f t="shared" si="53"/>
        <v>0</v>
      </c>
      <c r="Y51" s="22">
        <f t="shared" si="53"/>
        <v>0</v>
      </c>
      <c r="Z51" s="22">
        <f t="shared" si="53"/>
        <v>0</v>
      </c>
      <c r="AA51" s="22">
        <f t="shared" si="53"/>
        <v>0</v>
      </c>
      <c r="AB51" s="22">
        <f t="shared" si="53"/>
        <v>0</v>
      </c>
      <c r="AC51" s="22">
        <f t="shared" si="53"/>
        <v>0</v>
      </c>
      <c r="AD51" s="22">
        <f t="shared" si="53"/>
        <v>0</v>
      </c>
      <c r="AE51" s="22">
        <f t="shared" si="53"/>
        <v>0</v>
      </c>
      <c r="AF51" s="22">
        <f t="shared" si="53"/>
        <v>0</v>
      </c>
      <c r="AG51" s="22">
        <f t="shared" si="53"/>
        <v>0</v>
      </c>
      <c r="AH51" s="22">
        <f t="shared" si="53"/>
        <v>0</v>
      </c>
      <c r="AI51" s="22">
        <f t="shared" si="53"/>
        <v>0</v>
      </c>
      <c r="AJ51" s="22">
        <f t="shared" si="53"/>
        <v>0</v>
      </c>
      <c r="AK51" s="22">
        <f t="shared" si="53"/>
        <v>0</v>
      </c>
      <c r="AL51" s="22">
        <f t="shared" si="53"/>
        <v>0</v>
      </c>
      <c r="AM51" s="22">
        <f t="shared" si="53"/>
        <v>0</v>
      </c>
      <c r="AN51" s="22">
        <f t="shared" si="53"/>
        <v>0</v>
      </c>
      <c r="AO51" s="22">
        <f t="shared" ref="AO51:AQ51" si="54">SUM(AO42:AO50)</f>
        <v>0</v>
      </c>
      <c r="AP51" s="22">
        <f t="shared" si="54"/>
        <v>0</v>
      </c>
      <c r="AQ51" s="22">
        <f t="shared" si="54"/>
        <v>0</v>
      </c>
    </row>
    <row r="52" spans="1:43" s="44" customFormat="1" ht="25.15" customHeight="1" x14ac:dyDescent="0.5">
      <c r="A52" s="45"/>
      <c r="B52" s="242" t="s">
        <v>49</v>
      </c>
      <c r="C52" s="243"/>
      <c r="D52" s="244"/>
      <c r="E52" s="38">
        <f t="shared" ref="E52:F52" si="55">E40+E51</f>
        <v>383</v>
      </c>
      <c r="F52" s="38">
        <f t="shared" si="55"/>
        <v>5476</v>
      </c>
      <c r="G52" s="38">
        <f>G40+G51</f>
        <v>3571.6</v>
      </c>
      <c r="H52" s="38">
        <f t="shared" ref="H52" si="56">H40+H51</f>
        <v>380</v>
      </c>
      <c r="I52" s="38"/>
      <c r="J52" s="37">
        <f t="shared" ref="J52:K52" si="57">J40+J51</f>
        <v>3738.4</v>
      </c>
      <c r="K52" s="38">
        <f t="shared" si="57"/>
        <v>420</v>
      </c>
      <c r="L52" s="38"/>
      <c r="M52" s="37">
        <f t="shared" ref="M52:N52" si="58">M40+M51</f>
        <v>3835.2</v>
      </c>
      <c r="N52" s="38">
        <f t="shared" si="58"/>
        <v>298</v>
      </c>
      <c r="O52" s="38"/>
      <c r="P52" s="37">
        <f t="shared" ref="P52:R52" si="59">P40+P51</f>
        <v>3052.4</v>
      </c>
      <c r="Q52" s="38">
        <f t="shared" si="59"/>
        <v>408</v>
      </c>
      <c r="R52" s="38">
        <f t="shared" si="59"/>
        <v>5836</v>
      </c>
      <c r="S52" s="37">
        <f t="shared" ref="S52:U52" si="60">S40+S51</f>
        <v>3798.3999999999996</v>
      </c>
      <c r="T52" s="38">
        <f t="shared" si="60"/>
        <v>338</v>
      </c>
      <c r="U52" s="38">
        <f t="shared" si="60"/>
        <v>5326</v>
      </c>
      <c r="V52" s="37">
        <f t="shared" ref="V52:X52" si="61">V40+V51</f>
        <v>3410.7999999999997</v>
      </c>
      <c r="W52" s="38">
        <f t="shared" si="61"/>
        <v>333</v>
      </c>
      <c r="X52" s="38">
        <f t="shared" si="61"/>
        <v>5256</v>
      </c>
      <c r="Y52" s="37">
        <f t="shared" ref="Y52:Z52" si="62">Y40+Y51</f>
        <v>3366</v>
      </c>
      <c r="Z52" s="38">
        <f t="shared" si="62"/>
        <v>207</v>
      </c>
      <c r="AA52" s="38"/>
      <c r="AB52" s="37">
        <f t="shared" ref="AB52:AC52" si="63">AB40+AB51</f>
        <v>1897.9999999999998</v>
      </c>
      <c r="AC52" s="38">
        <f t="shared" si="63"/>
        <v>288</v>
      </c>
      <c r="AD52" s="38"/>
      <c r="AE52" s="37">
        <f t="shared" ref="AE52:AF52" si="64">AE40+AE51</f>
        <v>2960</v>
      </c>
      <c r="AF52" s="38">
        <f t="shared" si="64"/>
        <v>135</v>
      </c>
      <c r="AG52" s="38"/>
      <c r="AH52" s="37">
        <f t="shared" ref="AH52:AI52" si="65">AH40+AH51</f>
        <v>1273.5999999999999</v>
      </c>
      <c r="AI52" s="38">
        <f t="shared" si="65"/>
        <v>458</v>
      </c>
      <c r="AJ52" s="38"/>
      <c r="AK52" s="37">
        <f t="shared" ref="AK52:AL52" si="66">AK40+AK51</f>
        <v>4501.28</v>
      </c>
      <c r="AL52" s="38">
        <f t="shared" si="66"/>
        <v>205</v>
      </c>
      <c r="AM52" s="38"/>
      <c r="AN52" s="37">
        <f t="shared" ref="AN52:AO52" si="67">AN40+AN51</f>
        <v>1900.8</v>
      </c>
      <c r="AO52" s="38">
        <f t="shared" si="67"/>
        <v>0</v>
      </c>
      <c r="AP52" s="38"/>
      <c r="AQ52" s="37">
        <f t="shared" ref="AQ52" si="68">AQ40+AQ51</f>
        <v>0</v>
      </c>
    </row>
    <row r="54" spans="1:43" x14ac:dyDescent="0.5">
      <c r="F54" s="53"/>
      <c r="G54" s="53"/>
    </row>
    <row r="55" spans="1:43" ht="25.15" customHeight="1" x14ac:dyDescent="0.5">
      <c r="B55" s="41" t="s">
        <v>156</v>
      </c>
    </row>
    <row r="56" spans="1:43" ht="15" customHeight="1" x14ac:dyDescent="0.5"/>
    <row r="57" spans="1:43" ht="42.75" customHeight="1" x14ac:dyDescent="0.5">
      <c r="A57" s="245" t="s">
        <v>52</v>
      </c>
      <c r="B57" s="245" t="s">
        <v>51</v>
      </c>
      <c r="C57" s="247" t="s">
        <v>117</v>
      </c>
      <c r="D57" s="247" t="s">
        <v>95</v>
      </c>
      <c r="E57" s="236" t="s">
        <v>114</v>
      </c>
      <c r="F57" s="237"/>
      <c r="G57" s="238"/>
      <c r="H57" s="236" t="s">
        <v>58</v>
      </c>
      <c r="I57" s="237"/>
      <c r="J57" s="238"/>
      <c r="K57" s="236" t="s">
        <v>59</v>
      </c>
      <c r="L57" s="237"/>
      <c r="M57" s="238"/>
      <c r="N57" s="236" t="s">
        <v>60</v>
      </c>
      <c r="O57" s="237"/>
      <c r="P57" s="238"/>
      <c r="Q57" s="236" t="s">
        <v>61</v>
      </c>
      <c r="R57" s="237"/>
      <c r="S57" s="238"/>
      <c r="T57" s="236" t="s">
        <v>62</v>
      </c>
      <c r="U57" s="237"/>
      <c r="V57" s="238"/>
      <c r="W57" s="236" t="s">
        <v>63</v>
      </c>
      <c r="X57" s="237"/>
      <c r="Y57" s="238"/>
      <c r="Z57" s="236" t="s">
        <v>64</v>
      </c>
      <c r="AA57" s="237"/>
      <c r="AB57" s="238"/>
      <c r="AC57" s="236" t="s">
        <v>65</v>
      </c>
      <c r="AD57" s="237"/>
      <c r="AE57" s="238"/>
      <c r="AF57" s="236" t="s">
        <v>18</v>
      </c>
      <c r="AG57" s="237"/>
      <c r="AH57" s="238"/>
      <c r="AI57" s="236" t="s">
        <v>17</v>
      </c>
      <c r="AJ57" s="237"/>
      <c r="AK57" s="238"/>
      <c r="AL57" s="236" t="s">
        <v>16</v>
      </c>
      <c r="AM57" s="237"/>
      <c r="AN57" s="238"/>
      <c r="AO57" s="236" t="s">
        <v>134</v>
      </c>
      <c r="AP57" s="237"/>
      <c r="AQ57" s="238"/>
    </row>
    <row r="58" spans="1:43" ht="25.15" customHeight="1" x14ac:dyDescent="0.5">
      <c r="A58" s="246"/>
      <c r="B58" s="246"/>
      <c r="C58" s="248"/>
      <c r="D58" s="248"/>
      <c r="E58" s="40" t="s">
        <v>50</v>
      </c>
      <c r="F58" s="40" t="s">
        <v>56</v>
      </c>
      <c r="G58" s="40" t="s">
        <v>93</v>
      </c>
      <c r="H58" s="40" t="s">
        <v>50</v>
      </c>
      <c r="I58" s="40" t="s">
        <v>56</v>
      </c>
      <c r="J58" s="40" t="s">
        <v>57</v>
      </c>
      <c r="K58" s="40" t="s">
        <v>50</v>
      </c>
      <c r="L58" s="40" t="s">
        <v>56</v>
      </c>
      <c r="M58" s="40" t="s">
        <v>57</v>
      </c>
      <c r="N58" s="40" t="s">
        <v>50</v>
      </c>
      <c r="O58" s="40" t="s">
        <v>56</v>
      </c>
      <c r="P58" s="40" t="s">
        <v>57</v>
      </c>
      <c r="Q58" s="40" t="s">
        <v>50</v>
      </c>
      <c r="R58" s="40" t="s">
        <v>56</v>
      </c>
      <c r="S58" s="40" t="s">
        <v>57</v>
      </c>
      <c r="T58" s="40" t="s">
        <v>50</v>
      </c>
      <c r="U58" s="40" t="s">
        <v>56</v>
      </c>
      <c r="V58" s="40" t="s">
        <v>57</v>
      </c>
      <c r="W58" s="40" t="s">
        <v>50</v>
      </c>
      <c r="X58" s="40" t="s">
        <v>56</v>
      </c>
      <c r="Y58" s="40" t="s">
        <v>57</v>
      </c>
      <c r="Z58" s="40" t="s">
        <v>50</v>
      </c>
      <c r="AA58" s="40" t="s">
        <v>56</v>
      </c>
      <c r="AB58" s="40" t="s">
        <v>57</v>
      </c>
      <c r="AC58" s="40" t="s">
        <v>50</v>
      </c>
      <c r="AD58" s="40" t="s">
        <v>56</v>
      </c>
      <c r="AE58" s="40" t="s">
        <v>57</v>
      </c>
      <c r="AF58" s="40" t="s">
        <v>50</v>
      </c>
      <c r="AG58" s="40" t="s">
        <v>56</v>
      </c>
      <c r="AH58" s="40" t="s">
        <v>57</v>
      </c>
      <c r="AI58" s="40" t="s">
        <v>50</v>
      </c>
      <c r="AJ58" s="40" t="s">
        <v>56</v>
      </c>
      <c r="AK58" s="40" t="s">
        <v>57</v>
      </c>
      <c r="AL58" s="40" t="s">
        <v>50</v>
      </c>
      <c r="AM58" s="40" t="s">
        <v>56</v>
      </c>
      <c r="AN58" s="40" t="s">
        <v>57</v>
      </c>
      <c r="AO58" s="40" t="s">
        <v>50</v>
      </c>
      <c r="AP58" s="40" t="s">
        <v>56</v>
      </c>
      <c r="AQ58" s="40" t="s">
        <v>57</v>
      </c>
    </row>
    <row r="59" spans="1:43" s="43" customFormat="1" ht="20.100000000000001" customHeight="1" x14ac:dyDescent="0.5">
      <c r="A59" s="29">
        <v>1</v>
      </c>
      <c r="B59" s="1" t="s">
        <v>67</v>
      </c>
      <c r="C59" s="34">
        <v>0.7</v>
      </c>
      <c r="D59" s="34" t="s">
        <v>96</v>
      </c>
      <c r="E59" s="29">
        <v>28</v>
      </c>
      <c r="F59" s="29">
        <v>336</v>
      </c>
      <c r="G59" s="29">
        <v>235.2</v>
      </c>
      <c r="H59" s="29"/>
      <c r="I59" s="29"/>
      <c r="J59" s="29"/>
      <c r="K59" s="29"/>
      <c r="L59" s="29"/>
      <c r="M59" s="29"/>
      <c r="N59" s="29"/>
      <c r="O59" s="29"/>
      <c r="P59" s="57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s="43" customFormat="1" ht="20.100000000000001" customHeight="1" x14ac:dyDescent="0.5">
      <c r="A60" s="29">
        <v>2</v>
      </c>
      <c r="B60" s="1" t="s">
        <v>118</v>
      </c>
      <c r="C60" s="34">
        <v>0.64</v>
      </c>
      <c r="D60" s="34" t="s">
        <v>119</v>
      </c>
      <c r="E60" s="29">
        <v>245</v>
      </c>
      <c r="F60" s="29">
        <v>3430</v>
      </c>
      <c r="G60" s="29">
        <v>2195.1999999999998</v>
      </c>
      <c r="H60" s="29">
        <v>110</v>
      </c>
      <c r="I60" s="29">
        <v>1540</v>
      </c>
      <c r="J60" s="29">
        <v>985.6</v>
      </c>
      <c r="K60" s="29"/>
      <c r="L60" s="29"/>
      <c r="M60" s="29"/>
      <c r="N60" s="29"/>
      <c r="O60" s="29"/>
      <c r="P60" s="57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0.100000000000001" customHeight="1" x14ac:dyDescent="0.5">
      <c r="A61" s="29">
        <v>3</v>
      </c>
      <c r="B61" s="1" t="s">
        <v>69</v>
      </c>
      <c r="C61" s="30">
        <v>1</v>
      </c>
      <c r="D61" s="30" t="s">
        <v>96</v>
      </c>
      <c r="E61" s="28">
        <v>10</v>
      </c>
      <c r="F61" s="28">
        <v>120</v>
      </c>
      <c r="G61" s="29">
        <v>120</v>
      </c>
      <c r="H61" s="28"/>
      <c r="I61" s="28"/>
      <c r="J61" s="29"/>
      <c r="K61" s="28"/>
      <c r="L61" s="28"/>
      <c r="M61" s="29"/>
      <c r="N61" s="28"/>
      <c r="O61" s="28"/>
      <c r="P61" s="57"/>
      <c r="Q61" s="28"/>
      <c r="R61" s="28"/>
      <c r="S61" s="29"/>
      <c r="T61" s="28"/>
      <c r="U61" s="28"/>
      <c r="V61" s="29"/>
      <c r="W61" s="28"/>
      <c r="X61" s="28"/>
      <c r="Y61" s="29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</row>
    <row r="62" spans="1:43" ht="20.100000000000001" customHeight="1" x14ac:dyDescent="0.5">
      <c r="A62" s="29">
        <v>4</v>
      </c>
      <c r="B62" s="1" t="s">
        <v>73</v>
      </c>
      <c r="C62" s="30">
        <v>0.64</v>
      </c>
      <c r="D62" s="30" t="s">
        <v>99</v>
      </c>
      <c r="E62" s="28"/>
      <c r="F62" s="28"/>
      <c r="G62" s="29"/>
      <c r="H62" s="28"/>
      <c r="I62" s="28"/>
      <c r="J62" s="29"/>
      <c r="K62" s="28"/>
      <c r="L62" s="28"/>
      <c r="M62" s="29"/>
      <c r="N62" s="28"/>
      <c r="O62" s="28"/>
      <c r="P62" s="57"/>
      <c r="Q62" s="28"/>
      <c r="R62" s="28"/>
      <c r="S62" s="29"/>
      <c r="T62" s="28"/>
      <c r="U62" s="28"/>
      <c r="V62" s="29"/>
      <c r="W62" s="28"/>
      <c r="X62" s="28"/>
      <c r="Y62" s="29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</row>
    <row r="63" spans="1:43" ht="20.100000000000001" customHeight="1" x14ac:dyDescent="0.5">
      <c r="A63" s="29">
        <v>5</v>
      </c>
      <c r="B63" s="1" t="s">
        <v>9</v>
      </c>
      <c r="C63" s="30">
        <v>0.64</v>
      </c>
      <c r="D63" s="30" t="s">
        <v>99</v>
      </c>
      <c r="E63" s="28">
        <v>45</v>
      </c>
      <c r="F63" s="28">
        <v>630</v>
      </c>
      <c r="G63" s="29">
        <v>403.20000000000005</v>
      </c>
      <c r="H63" s="28">
        <v>40</v>
      </c>
      <c r="I63" s="28">
        <v>560</v>
      </c>
      <c r="J63" s="29">
        <v>358.40000000000003</v>
      </c>
      <c r="K63" s="28"/>
      <c r="L63" s="28"/>
      <c r="M63" s="29"/>
      <c r="N63" s="28"/>
      <c r="O63" s="28"/>
      <c r="P63" s="57"/>
      <c r="Q63" s="28"/>
      <c r="R63" s="28"/>
      <c r="S63" s="29"/>
      <c r="T63" s="28"/>
      <c r="U63" s="28"/>
      <c r="V63" s="29"/>
      <c r="W63" s="28"/>
      <c r="X63" s="28"/>
      <c r="Y63" s="29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</row>
    <row r="64" spans="1:43" ht="20.100000000000001" customHeight="1" x14ac:dyDescent="0.5">
      <c r="A64" s="29">
        <v>6</v>
      </c>
      <c r="B64" s="1" t="s">
        <v>91</v>
      </c>
      <c r="C64" s="30">
        <v>0.64</v>
      </c>
      <c r="D64" s="30" t="s">
        <v>99</v>
      </c>
      <c r="E64" s="57">
        <v>5</v>
      </c>
      <c r="F64" s="57">
        <v>70</v>
      </c>
      <c r="G64" s="29">
        <v>44.800000000000004</v>
      </c>
      <c r="H64" s="57">
        <v>15</v>
      </c>
      <c r="I64" s="57">
        <v>210</v>
      </c>
      <c r="J64" s="29">
        <v>134.4</v>
      </c>
      <c r="K64" s="57"/>
      <c r="L64" s="57"/>
      <c r="M64" s="29"/>
      <c r="N64" s="57"/>
      <c r="O64" s="57"/>
      <c r="P64" s="57"/>
      <c r="Q64" s="57"/>
      <c r="R64" s="57"/>
      <c r="S64" s="29"/>
      <c r="T64" s="57"/>
      <c r="U64" s="57"/>
      <c r="V64" s="29"/>
      <c r="W64" s="57"/>
      <c r="X64" s="57"/>
      <c r="Y64" s="29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</row>
    <row r="65" spans="1:43" ht="20.100000000000001" customHeight="1" x14ac:dyDescent="0.5">
      <c r="A65" s="29">
        <v>8</v>
      </c>
      <c r="B65" s="1" t="s">
        <v>92</v>
      </c>
      <c r="C65" s="30">
        <v>0.64</v>
      </c>
      <c r="D65" s="1" t="s">
        <v>98</v>
      </c>
      <c r="E65" s="57"/>
      <c r="F65" s="57"/>
      <c r="G65" s="29"/>
      <c r="H65" s="57">
        <v>35</v>
      </c>
      <c r="I65" s="57">
        <v>840</v>
      </c>
      <c r="J65" s="29">
        <v>537.59999999999991</v>
      </c>
      <c r="K65" s="57"/>
      <c r="L65" s="57"/>
      <c r="M65" s="29"/>
      <c r="N65" s="57"/>
      <c r="O65" s="57"/>
      <c r="P65" s="57"/>
      <c r="Q65" s="57"/>
      <c r="R65" s="57"/>
      <c r="S65" s="29"/>
      <c r="T65" s="57"/>
      <c r="U65" s="57"/>
      <c r="V65" s="29"/>
      <c r="W65" s="57"/>
      <c r="X65" s="57"/>
      <c r="Y65" s="29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</row>
    <row r="66" spans="1:43" s="41" customFormat="1" ht="20.100000000000001" customHeight="1" x14ac:dyDescent="0.5">
      <c r="A66" s="24"/>
      <c r="B66" s="239" t="s">
        <v>10</v>
      </c>
      <c r="C66" s="240"/>
      <c r="D66" s="241"/>
      <c r="E66" s="22">
        <f t="shared" ref="E66:Y66" si="69">SUM(E59:E65)</f>
        <v>333</v>
      </c>
      <c r="F66" s="22">
        <f t="shared" si="69"/>
        <v>4586</v>
      </c>
      <c r="G66" s="22">
        <f t="shared" si="69"/>
        <v>2998.3999999999996</v>
      </c>
      <c r="H66" s="22">
        <f t="shared" si="69"/>
        <v>200</v>
      </c>
      <c r="I66" s="22">
        <f t="shared" si="69"/>
        <v>3150</v>
      </c>
      <c r="J66" s="22">
        <f t="shared" si="69"/>
        <v>2016</v>
      </c>
      <c r="K66" s="22">
        <f t="shared" si="69"/>
        <v>0</v>
      </c>
      <c r="L66" s="22">
        <f t="shared" si="69"/>
        <v>0</v>
      </c>
      <c r="M66" s="22">
        <f t="shared" si="69"/>
        <v>0</v>
      </c>
      <c r="N66" s="22">
        <f t="shared" si="69"/>
        <v>0</v>
      </c>
      <c r="O66" s="22">
        <f t="shared" si="69"/>
        <v>0</v>
      </c>
      <c r="P66" s="22">
        <f t="shared" si="69"/>
        <v>0</v>
      </c>
      <c r="Q66" s="22">
        <f t="shared" si="69"/>
        <v>0</v>
      </c>
      <c r="R66" s="22">
        <f t="shared" si="69"/>
        <v>0</v>
      </c>
      <c r="S66" s="22">
        <f t="shared" si="69"/>
        <v>0</v>
      </c>
      <c r="T66" s="22">
        <f t="shared" si="69"/>
        <v>0</v>
      </c>
      <c r="U66" s="22">
        <f t="shared" si="69"/>
        <v>0</v>
      </c>
      <c r="V66" s="22">
        <f t="shared" si="69"/>
        <v>0</v>
      </c>
      <c r="W66" s="22">
        <f t="shared" si="69"/>
        <v>0</v>
      </c>
      <c r="X66" s="22">
        <f t="shared" si="69"/>
        <v>0</v>
      </c>
      <c r="Y66" s="22">
        <f t="shared" si="69"/>
        <v>0</v>
      </c>
      <c r="Z66" s="22">
        <f>SUM(Z59:Z65)</f>
        <v>0</v>
      </c>
      <c r="AA66" s="22">
        <f t="shared" ref="AA66:AQ66" si="70">SUM(AA59:AA65)</f>
        <v>0</v>
      </c>
      <c r="AB66" s="22">
        <f t="shared" si="70"/>
        <v>0</v>
      </c>
      <c r="AC66" s="22">
        <f t="shared" si="70"/>
        <v>0</v>
      </c>
      <c r="AD66" s="22">
        <f t="shared" si="70"/>
        <v>0</v>
      </c>
      <c r="AE66" s="22">
        <f t="shared" si="70"/>
        <v>0</v>
      </c>
      <c r="AF66" s="22">
        <f t="shared" si="70"/>
        <v>0</v>
      </c>
      <c r="AG66" s="22">
        <f t="shared" si="70"/>
        <v>0</v>
      </c>
      <c r="AH66" s="22">
        <f t="shared" si="70"/>
        <v>0</v>
      </c>
      <c r="AI66" s="22">
        <f t="shared" si="70"/>
        <v>0</v>
      </c>
      <c r="AJ66" s="22">
        <f t="shared" si="70"/>
        <v>0</v>
      </c>
      <c r="AK66" s="22">
        <f t="shared" si="70"/>
        <v>0</v>
      </c>
      <c r="AL66" s="22">
        <f t="shared" si="70"/>
        <v>0</v>
      </c>
      <c r="AM66" s="22">
        <f t="shared" si="70"/>
        <v>0</v>
      </c>
      <c r="AN66" s="22">
        <f t="shared" si="70"/>
        <v>0</v>
      </c>
      <c r="AO66" s="22">
        <f t="shared" si="70"/>
        <v>0</v>
      </c>
      <c r="AP66" s="22">
        <f t="shared" si="70"/>
        <v>0</v>
      </c>
      <c r="AQ66" s="22">
        <f t="shared" si="70"/>
        <v>0</v>
      </c>
    </row>
    <row r="67" spans="1:43" ht="24" customHeight="1" x14ac:dyDescent="0.5">
      <c r="A67" s="39"/>
      <c r="B67" s="30"/>
      <c r="C67" s="30"/>
      <c r="D67" s="30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</row>
    <row r="68" spans="1:43" ht="25.15" customHeight="1" x14ac:dyDescent="0.5">
      <c r="A68" s="39">
        <v>1</v>
      </c>
      <c r="B68" s="30" t="s">
        <v>6</v>
      </c>
      <c r="C68" s="1">
        <v>0.7</v>
      </c>
      <c r="D68" s="1" t="s">
        <v>96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>
        <f>X68*C68</f>
        <v>0</v>
      </c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</row>
    <row r="69" spans="1:43" ht="25.15" customHeight="1" x14ac:dyDescent="0.5">
      <c r="A69" s="39">
        <v>2</v>
      </c>
      <c r="B69" s="30" t="s">
        <v>5</v>
      </c>
      <c r="C69" s="1">
        <v>0.35</v>
      </c>
      <c r="D69" s="1" t="s">
        <v>98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>
        <f t="shared" ref="Y69:Y76" si="71">X69*C69</f>
        <v>0</v>
      </c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</row>
    <row r="70" spans="1:43" ht="25.15" customHeight="1" x14ac:dyDescent="0.5">
      <c r="A70" s="39">
        <v>3</v>
      </c>
      <c r="B70" s="30" t="s">
        <v>4</v>
      </c>
      <c r="C70" s="1">
        <v>0.17499999999999999</v>
      </c>
      <c r="D70" s="1" t="s">
        <v>100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>
        <f t="shared" si="71"/>
        <v>0</v>
      </c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</row>
    <row r="71" spans="1:43" ht="25.15" customHeight="1" x14ac:dyDescent="0.5">
      <c r="A71" s="39">
        <v>4</v>
      </c>
      <c r="B71" s="30" t="s">
        <v>3</v>
      </c>
      <c r="C71" s="1">
        <v>0.7</v>
      </c>
      <c r="D71" s="1" t="s">
        <v>96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>
        <f t="shared" si="71"/>
        <v>0</v>
      </c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</row>
    <row r="72" spans="1:43" ht="25.15" customHeight="1" x14ac:dyDescent="0.5">
      <c r="A72" s="39">
        <v>5</v>
      </c>
      <c r="B72" s="30" t="s">
        <v>2</v>
      </c>
      <c r="C72" s="1">
        <v>0.35</v>
      </c>
      <c r="D72" s="1" t="s">
        <v>98</v>
      </c>
      <c r="E72" s="29"/>
      <c r="F72" s="29"/>
      <c r="G72" s="29">
        <f>F72*C72</f>
        <v>0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>
        <f t="shared" si="71"/>
        <v>0</v>
      </c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ht="25.15" customHeight="1" x14ac:dyDescent="0.5">
      <c r="A73" s="39">
        <v>6</v>
      </c>
      <c r="B73" s="30" t="s">
        <v>1</v>
      </c>
      <c r="C73" s="1">
        <v>0.17499999999999999</v>
      </c>
      <c r="D73" s="1" t="s">
        <v>100</v>
      </c>
      <c r="E73" s="29"/>
      <c r="F73" s="29"/>
      <c r="G73" s="29">
        <f t="shared" ref="G73:G75" si="72">F73*C73</f>
        <v>0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>
        <f t="shared" si="71"/>
        <v>0</v>
      </c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ht="25.15" customHeight="1" x14ac:dyDescent="0.5">
      <c r="A74" s="39">
        <v>7</v>
      </c>
      <c r="B74" s="30" t="s">
        <v>0</v>
      </c>
      <c r="C74" s="1">
        <v>0.7</v>
      </c>
      <c r="D74" s="1" t="s">
        <v>96</v>
      </c>
      <c r="E74" s="29"/>
      <c r="F74" s="29"/>
      <c r="G74" s="29">
        <f t="shared" si="72"/>
        <v>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>
        <f t="shared" si="71"/>
        <v>0</v>
      </c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ht="25.15" customHeight="1" x14ac:dyDescent="0.5">
      <c r="A75" s="39">
        <v>8</v>
      </c>
      <c r="B75" s="30" t="s">
        <v>8</v>
      </c>
      <c r="C75" s="1">
        <v>0.7</v>
      </c>
      <c r="D75" s="1" t="s">
        <v>96</v>
      </c>
      <c r="E75" s="29"/>
      <c r="F75" s="29"/>
      <c r="G75" s="29">
        <f t="shared" si="72"/>
        <v>0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>
        <f t="shared" si="71"/>
        <v>0</v>
      </c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ht="25.15" customHeight="1" x14ac:dyDescent="0.5">
      <c r="A76" s="39">
        <v>9</v>
      </c>
      <c r="B76" s="30" t="s">
        <v>7</v>
      </c>
      <c r="C76" s="1">
        <v>0.35</v>
      </c>
      <c r="D76" s="1" t="s">
        <v>98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>
        <f t="shared" si="71"/>
        <v>0</v>
      </c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</row>
    <row r="77" spans="1:43" ht="25.15" customHeight="1" x14ac:dyDescent="0.5">
      <c r="A77" s="46"/>
      <c r="B77" s="239" t="s">
        <v>10</v>
      </c>
      <c r="C77" s="240"/>
      <c r="D77" s="241"/>
      <c r="E77" s="22">
        <f t="shared" ref="E77:F77" si="73">SUM(E68:E76)</f>
        <v>0</v>
      </c>
      <c r="F77" s="22">
        <f t="shared" si="73"/>
        <v>0</v>
      </c>
      <c r="G77" s="22">
        <f>SUM(G68:G76)</f>
        <v>0</v>
      </c>
      <c r="H77" s="22">
        <f t="shared" ref="H77:AQ77" si="74">SUM(H68:H76)</f>
        <v>0</v>
      </c>
      <c r="I77" s="22">
        <f t="shared" si="74"/>
        <v>0</v>
      </c>
      <c r="J77" s="22">
        <f t="shared" si="74"/>
        <v>0</v>
      </c>
      <c r="K77" s="22">
        <f t="shared" si="74"/>
        <v>0</v>
      </c>
      <c r="L77" s="22">
        <f t="shared" si="74"/>
        <v>0</v>
      </c>
      <c r="M77" s="22">
        <f t="shared" si="74"/>
        <v>0</v>
      </c>
      <c r="N77" s="22">
        <f t="shared" si="74"/>
        <v>0</v>
      </c>
      <c r="O77" s="22">
        <f t="shared" si="74"/>
        <v>0</v>
      </c>
      <c r="P77" s="22">
        <f t="shared" si="74"/>
        <v>0</v>
      </c>
      <c r="Q77" s="22">
        <f t="shared" si="74"/>
        <v>0</v>
      </c>
      <c r="R77" s="22">
        <f t="shared" si="74"/>
        <v>0</v>
      </c>
      <c r="S77" s="22">
        <f t="shared" si="74"/>
        <v>0</v>
      </c>
      <c r="T77" s="22">
        <f t="shared" si="74"/>
        <v>0</v>
      </c>
      <c r="U77" s="22">
        <f t="shared" si="74"/>
        <v>0</v>
      </c>
      <c r="V77" s="22">
        <f t="shared" si="74"/>
        <v>0</v>
      </c>
      <c r="W77" s="22">
        <f t="shared" si="74"/>
        <v>0</v>
      </c>
      <c r="X77" s="22">
        <f t="shared" si="74"/>
        <v>0</v>
      </c>
      <c r="Y77" s="22">
        <f t="shared" si="74"/>
        <v>0</v>
      </c>
      <c r="Z77" s="22">
        <f t="shared" si="74"/>
        <v>0</v>
      </c>
      <c r="AA77" s="22">
        <f t="shared" si="74"/>
        <v>0</v>
      </c>
      <c r="AB77" s="22">
        <f t="shared" si="74"/>
        <v>0</v>
      </c>
      <c r="AC77" s="22">
        <f t="shared" si="74"/>
        <v>0</v>
      </c>
      <c r="AD77" s="22">
        <f t="shared" si="74"/>
        <v>0</v>
      </c>
      <c r="AE77" s="22">
        <f t="shared" si="74"/>
        <v>0</v>
      </c>
      <c r="AF77" s="22">
        <f t="shared" si="74"/>
        <v>0</v>
      </c>
      <c r="AG77" s="22">
        <f t="shared" si="74"/>
        <v>0</v>
      </c>
      <c r="AH77" s="22">
        <f t="shared" si="74"/>
        <v>0</v>
      </c>
      <c r="AI77" s="22">
        <f t="shared" si="74"/>
        <v>0</v>
      </c>
      <c r="AJ77" s="22">
        <f t="shared" si="74"/>
        <v>0</v>
      </c>
      <c r="AK77" s="22">
        <f t="shared" si="74"/>
        <v>0</v>
      </c>
      <c r="AL77" s="22">
        <f t="shared" si="74"/>
        <v>0</v>
      </c>
      <c r="AM77" s="22">
        <f t="shared" si="74"/>
        <v>0</v>
      </c>
      <c r="AN77" s="22">
        <f t="shared" si="74"/>
        <v>0</v>
      </c>
      <c r="AO77" s="22">
        <f t="shared" si="74"/>
        <v>0</v>
      </c>
      <c r="AP77" s="22">
        <f t="shared" si="74"/>
        <v>0</v>
      </c>
      <c r="AQ77" s="22">
        <f t="shared" si="74"/>
        <v>0</v>
      </c>
    </row>
    <row r="78" spans="1:43" s="44" customFormat="1" ht="25.15" customHeight="1" x14ac:dyDescent="0.5">
      <c r="A78" s="45"/>
      <c r="B78" s="242" t="s">
        <v>49</v>
      </c>
      <c r="C78" s="243"/>
      <c r="D78" s="244"/>
      <c r="E78" s="38">
        <f t="shared" ref="E78:F78" si="75">E66+E77</f>
        <v>333</v>
      </c>
      <c r="F78" s="38">
        <f t="shared" si="75"/>
        <v>4586</v>
      </c>
      <c r="G78" s="38">
        <f>G66+G77</f>
        <v>2998.3999999999996</v>
      </c>
      <c r="H78" s="38">
        <f t="shared" ref="H78" si="76">H66+H77</f>
        <v>200</v>
      </c>
      <c r="I78" s="38"/>
      <c r="J78" s="37">
        <f t="shared" ref="J78:K78" si="77">J66+J77</f>
        <v>2016</v>
      </c>
      <c r="K78" s="38">
        <f t="shared" si="77"/>
        <v>0</v>
      </c>
      <c r="L78" s="38"/>
      <c r="M78" s="37">
        <f t="shared" ref="M78:N78" si="78">M66+M77</f>
        <v>0</v>
      </c>
      <c r="N78" s="38">
        <f t="shared" si="78"/>
        <v>0</v>
      </c>
      <c r="O78" s="38"/>
      <c r="P78" s="37">
        <f t="shared" ref="P78:Z78" si="79">P66+P77</f>
        <v>0</v>
      </c>
      <c r="Q78" s="38">
        <f t="shared" si="79"/>
        <v>0</v>
      </c>
      <c r="R78" s="38">
        <f t="shared" si="79"/>
        <v>0</v>
      </c>
      <c r="S78" s="37">
        <f t="shared" si="79"/>
        <v>0</v>
      </c>
      <c r="T78" s="38">
        <f t="shared" si="79"/>
        <v>0</v>
      </c>
      <c r="U78" s="38">
        <f t="shared" si="79"/>
        <v>0</v>
      </c>
      <c r="V78" s="37">
        <f t="shared" si="79"/>
        <v>0</v>
      </c>
      <c r="W78" s="38">
        <f t="shared" si="79"/>
        <v>0</v>
      </c>
      <c r="X78" s="38">
        <f t="shared" si="79"/>
        <v>0</v>
      </c>
      <c r="Y78" s="37">
        <f t="shared" si="79"/>
        <v>0</v>
      </c>
      <c r="Z78" s="38">
        <f t="shared" si="79"/>
        <v>0</v>
      </c>
      <c r="AA78" s="38"/>
      <c r="AB78" s="37">
        <f t="shared" ref="AB78:AC78" si="80">AB66+AB77</f>
        <v>0</v>
      </c>
      <c r="AC78" s="38">
        <f t="shared" si="80"/>
        <v>0</v>
      </c>
      <c r="AD78" s="38"/>
      <c r="AE78" s="37">
        <f t="shared" ref="AE78:AF78" si="81">AE66+AE77</f>
        <v>0</v>
      </c>
      <c r="AF78" s="38">
        <f t="shared" si="81"/>
        <v>0</v>
      </c>
      <c r="AG78" s="38"/>
      <c r="AH78" s="37">
        <f t="shared" ref="AH78:AI78" si="82">AH66+AH77</f>
        <v>0</v>
      </c>
      <c r="AI78" s="38">
        <f t="shared" si="82"/>
        <v>0</v>
      </c>
      <c r="AJ78" s="38"/>
      <c r="AK78" s="37">
        <f t="shared" ref="AK78:AL78" si="83">AK66+AK77</f>
        <v>0</v>
      </c>
      <c r="AL78" s="38">
        <f t="shared" si="83"/>
        <v>0</v>
      </c>
      <c r="AM78" s="38"/>
      <c r="AN78" s="37">
        <f t="shared" ref="AN78:AO78" si="84">AN66+AN77</f>
        <v>0</v>
      </c>
      <c r="AO78" s="38">
        <f t="shared" si="84"/>
        <v>0</v>
      </c>
      <c r="AP78" s="38"/>
      <c r="AQ78" s="37">
        <f t="shared" ref="AQ78" si="85">AQ66+AQ77</f>
        <v>0</v>
      </c>
    </row>
  </sheetData>
  <mergeCells count="60">
    <mergeCell ref="AI3:AK3"/>
    <mergeCell ref="AL3:AN3"/>
    <mergeCell ref="AO3:AQ3"/>
    <mergeCell ref="AO31:AQ31"/>
    <mergeCell ref="T3:V3"/>
    <mergeCell ref="W3:Y3"/>
    <mergeCell ref="Z3:AB3"/>
    <mergeCell ref="AC3:AE3"/>
    <mergeCell ref="AF3:AH3"/>
    <mergeCell ref="H3:J3"/>
    <mergeCell ref="K3:M3"/>
    <mergeCell ref="N3:P3"/>
    <mergeCell ref="Q3:S3"/>
    <mergeCell ref="B13:D13"/>
    <mergeCell ref="A3:A4"/>
    <mergeCell ref="B3:B4"/>
    <mergeCell ref="C3:C4"/>
    <mergeCell ref="D3:D4"/>
    <mergeCell ref="E3:G3"/>
    <mergeCell ref="Q31:S31"/>
    <mergeCell ref="B51:D51"/>
    <mergeCell ref="AF31:AH31"/>
    <mergeCell ref="AI31:AK31"/>
    <mergeCell ref="AL31:AN31"/>
    <mergeCell ref="E31:G31"/>
    <mergeCell ref="H31:J31"/>
    <mergeCell ref="K31:M31"/>
    <mergeCell ref="N31:P31"/>
    <mergeCell ref="T31:V31"/>
    <mergeCell ref="W31:Y31"/>
    <mergeCell ref="Z31:AB31"/>
    <mergeCell ref="AC31:AE31"/>
    <mergeCell ref="B40:D40"/>
    <mergeCell ref="B24:D24"/>
    <mergeCell ref="B25:D25"/>
    <mergeCell ref="B52:D52"/>
    <mergeCell ref="A31:A32"/>
    <mergeCell ref="B31:B32"/>
    <mergeCell ref="C31:C32"/>
    <mergeCell ref="D31:D32"/>
    <mergeCell ref="A57:A58"/>
    <mergeCell ref="B57:B58"/>
    <mergeCell ref="C57:C58"/>
    <mergeCell ref="D57:D58"/>
    <mergeCell ref="E57:G57"/>
    <mergeCell ref="AL57:AN57"/>
    <mergeCell ref="AO57:AQ57"/>
    <mergeCell ref="B66:D66"/>
    <mergeCell ref="B77:D77"/>
    <mergeCell ref="B78:D78"/>
    <mergeCell ref="W57:Y57"/>
    <mergeCell ref="Z57:AB57"/>
    <mergeCell ref="AC57:AE57"/>
    <mergeCell ref="AF57:AH57"/>
    <mergeCell ref="AI57:AK57"/>
    <mergeCell ref="H57:J57"/>
    <mergeCell ref="K57:M57"/>
    <mergeCell ref="N57:P57"/>
    <mergeCell ref="Q57:S57"/>
    <mergeCell ref="T57:V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49FB-48AC-490D-B575-97E02E00BCDB}">
  <sheetPr>
    <tabColor rgb="FFFF0000"/>
  </sheetPr>
  <dimension ref="A1:AQ77"/>
  <sheetViews>
    <sheetView workbookViewId="0">
      <pane xSplit="3" ySplit="4" topLeftCell="D48" activePane="bottomRight" state="frozen"/>
      <selection pane="topRight" activeCell="D1" sqref="D1"/>
      <selection pane="bottomLeft" activeCell="A5" sqref="A5"/>
      <selection pane="bottomRight" activeCell="I65" sqref="I65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6" style="42" customWidth="1"/>
    <col min="6" max="6" width="7.140625" style="42" customWidth="1"/>
    <col min="7" max="7" width="6.85546875" style="42" customWidth="1"/>
    <col min="8" max="8" width="6" style="42" customWidth="1"/>
    <col min="9" max="10" width="7.140625" style="42" customWidth="1"/>
    <col min="11" max="11" width="6.28515625" style="42" customWidth="1"/>
    <col min="12" max="13" width="7.140625" style="42" customWidth="1"/>
    <col min="14" max="14" width="5" style="42" customWidth="1"/>
    <col min="15" max="15" width="7.140625" style="42" customWidth="1"/>
    <col min="16" max="16" width="6.28515625" style="42" customWidth="1"/>
    <col min="17" max="17" width="6.28515625" style="42" bestFit="1" customWidth="1"/>
    <col min="18" max="19" width="7.140625" style="42" bestFit="1" customWidth="1"/>
    <col min="20" max="20" width="6.28515625" style="42" bestFit="1" customWidth="1"/>
    <col min="21" max="22" width="7.140625" style="42" bestFit="1" customWidth="1"/>
    <col min="23" max="23" width="6.28515625" style="42" bestFit="1" customWidth="1"/>
    <col min="24" max="25" width="7.140625" style="42" bestFit="1" customWidth="1"/>
    <col min="26" max="26" width="5" style="42" bestFit="1" customWidth="1"/>
    <col min="27" max="27" width="7.140625" style="42" bestFit="1" customWidth="1"/>
    <col min="28" max="28" width="6.28515625" style="42" bestFit="1" customWidth="1"/>
    <col min="29" max="29" width="6.5703125" style="42" customWidth="1"/>
    <col min="30" max="30" width="6.85546875" style="42" bestFit="1" customWidth="1"/>
    <col min="31" max="31" width="6.85546875" style="42" customWidth="1"/>
    <col min="32" max="32" width="6.42578125" style="42" customWidth="1"/>
    <col min="33" max="34" width="7.140625" style="42" bestFit="1" customWidth="1"/>
    <col min="35" max="35" width="6" style="42" bestFit="1" customWidth="1"/>
    <col min="36" max="37" width="7.140625" style="42" bestFit="1" customWidth="1"/>
    <col min="38" max="38" width="6" style="42" bestFit="1" customWidth="1"/>
    <col min="39" max="41" width="7.140625" style="42" bestFit="1" customWidth="1"/>
    <col min="42" max="42" width="8" style="42" bestFit="1" customWidth="1"/>
    <col min="43" max="43" width="7.140625" style="42" bestFit="1" customWidth="1"/>
    <col min="44" max="16384" width="9.7109375" style="42"/>
  </cols>
  <sheetData>
    <row r="1" spans="1:43" x14ac:dyDescent="0.5">
      <c r="B1" s="41" t="s">
        <v>132</v>
      </c>
    </row>
    <row r="3" spans="1:43" x14ac:dyDescent="0.5">
      <c r="A3" s="245" t="s">
        <v>52</v>
      </c>
      <c r="B3" s="245" t="s">
        <v>51</v>
      </c>
      <c r="C3" s="247" t="s">
        <v>117</v>
      </c>
      <c r="D3" s="247" t="s">
        <v>95</v>
      </c>
      <c r="E3" s="236" t="s">
        <v>113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5">
      <c r="A4" s="246"/>
      <c r="B4" s="246"/>
      <c r="C4" s="248"/>
      <c r="D4" s="248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5">
      <c r="A5" s="28">
        <v>1</v>
      </c>
      <c r="B5" s="1" t="s">
        <v>88</v>
      </c>
      <c r="C5" s="30">
        <v>0.64</v>
      </c>
      <c r="D5" s="30" t="s">
        <v>99</v>
      </c>
      <c r="E5" s="29"/>
      <c r="F5" s="29"/>
      <c r="G5" s="29">
        <f>C5*F5</f>
        <v>0</v>
      </c>
      <c r="H5" s="29"/>
      <c r="I5" s="29"/>
      <c r="J5" s="29">
        <f>I5*C5</f>
        <v>0</v>
      </c>
      <c r="K5" s="29">
        <v>50</v>
      </c>
      <c r="L5" s="29">
        <v>700</v>
      </c>
      <c r="M5" s="29">
        <f>L5*C5</f>
        <v>448</v>
      </c>
      <c r="N5" s="29">
        <v>50</v>
      </c>
      <c r="O5" s="29">
        <v>700</v>
      </c>
      <c r="P5" s="29">
        <f>O5*C5</f>
        <v>448</v>
      </c>
      <c r="Q5" s="29"/>
      <c r="R5" s="29"/>
      <c r="S5" s="29">
        <f>R5*C5</f>
        <v>0</v>
      </c>
      <c r="T5" s="132"/>
      <c r="U5" s="132"/>
      <c r="V5" s="132">
        <f>U5*C5</f>
        <v>0</v>
      </c>
      <c r="W5" s="29">
        <v>50</v>
      </c>
      <c r="X5" s="29">
        <v>700</v>
      </c>
      <c r="Y5" s="29">
        <f>X5*C5</f>
        <v>448</v>
      </c>
      <c r="Z5" s="29"/>
      <c r="AA5" s="29"/>
      <c r="AB5" s="29">
        <f>AA5*C5</f>
        <v>0</v>
      </c>
      <c r="AC5" s="29"/>
      <c r="AD5" s="29"/>
      <c r="AE5" s="29">
        <f>AD5*C5</f>
        <v>0</v>
      </c>
      <c r="AF5" s="29">
        <v>215</v>
      </c>
      <c r="AG5" s="29">
        <v>3514</v>
      </c>
      <c r="AH5" s="29">
        <f>AG5*C5</f>
        <v>2248.96</v>
      </c>
      <c r="AI5" s="29">
        <v>80</v>
      </c>
      <c r="AJ5" s="29">
        <v>1120</v>
      </c>
      <c r="AK5" s="29">
        <f>C5*AJ5</f>
        <v>716.80000000000007</v>
      </c>
      <c r="AL5" s="29">
        <v>160</v>
      </c>
      <c r="AM5" s="29">
        <v>2240</v>
      </c>
      <c r="AN5" s="29">
        <v>1433.6</v>
      </c>
      <c r="AO5" s="28">
        <f>E5+H5+K5+N5+Q5+T5+W5+Z5+AC5+AF5+AI5+AL5</f>
        <v>605</v>
      </c>
      <c r="AP5" s="28">
        <f t="shared" ref="AP5:AQ5" si="0">F5+I5+L5+O5+R5+U5+X5+AA5+AD5+AG5+AJ5+AM5</f>
        <v>8974</v>
      </c>
      <c r="AQ5" s="28">
        <f t="shared" si="0"/>
        <v>5743.3600000000006</v>
      </c>
    </row>
    <row r="6" spans="1:43" x14ac:dyDescent="0.5">
      <c r="A6" s="28">
        <v>2</v>
      </c>
      <c r="B6" s="1" t="s">
        <v>9</v>
      </c>
      <c r="C6" s="30">
        <v>0.64</v>
      </c>
      <c r="D6" s="30" t="s">
        <v>119</v>
      </c>
      <c r="E6" s="29">
        <v>810</v>
      </c>
      <c r="F6" s="29">
        <v>11340</v>
      </c>
      <c r="G6" s="29">
        <f t="shared" ref="G6:G7" si="1">C6*F6</f>
        <v>7257.6</v>
      </c>
      <c r="H6" s="29">
        <v>879</v>
      </c>
      <c r="I6" s="29">
        <v>12306</v>
      </c>
      <c r="J6" s="29">
        <f t="shared" ref="J6:J7" si="2">I6*C6</f>
        <v>7875.84</v>
      </c>
      <c r="K6" s="29">
        <v>655</v>
      </c>
      <c r="L6" s="29">
        <v>9170</v>
      </c>
      <c r="M6" s="29">
        <f t="shared" ref="M6:M7" si="3">L6*C6</f>
        <v>5868.8</v>
      </c>
      <c r="N6" s="29">
        <v>653</v>
      </c>
      <c r="O6" s="29">
        <v>9142</v>
      </c>
      <c r="P6" s="29">
        <f t="shared" ref="P6:P7" si="4">O6*C6</f>
        <v>5850.88</v>
      </c>
      <c r="Q6" s="29">
        <v>1059</v>
      </c>
      <c r="R6" s="29">
        <v>14826</v>
      </c>
      <c r="S6" s="29">
        <f t="shared" ref="S6:S7" si="5">R6*C6</f>
        <v>9488.64</v>
      </c>
      <c r="T6" s="29">
        <v>870</v>
      </c>
      <c r="U6" s="29">
        <v>12180</v>
      </c>
      <c r="V6" s="29">
        <f t="shared" ref="V6:V7" si="6">U6*C6</f>
        <v>7795.2</v>
      </c>
      <c r="W6" s="29">
        <v>1050</v>
      </c>
      <c r="X6" s="29">
        <v>14700</v>
      </c>
      <c r="Y6" s="29">
        <f t="shared" ref="Y6:Y7" si="7">X6*C6</f>
        <v>9408</v>
      </c>
      <c r="Z6" s="29">
        <v>815</v>
      </c>
      <c r="AA6" s="29">
        <v>11410</v>
      </c>
      <c r="AB6" s="29">
        <f t="shared" ref="AB6:AB7" si="8">AA6*C6</f>
        <v>7302.4000000000005</v>
      </c>
      <c r="AC6" s="29">
        <v>705</v>
      </c>
      <c r="AD6" s="29">
        <v>9870</v>
      </c>
      <c r="AE6" s="29">
        <f t="shared" ref="AE6:AE7" si="9">AD6*C6</f>
        <v>6316.8</v>
      </c>
      <c r="AF6" s="29">
        <v>750</v>
      </c>
      <c r="AG6" s="29">
        <v>10500</v>
      </c>
      <c r="AH6" s="29">
        <f t="shared" ref="AH6:AH7" si="10">AG6*C6</f>
        <v>6720</v>
      </c>
      <c r="AI6" s="29">
        <v>830</v>
      </c>
      <c r="AJ6" s="29">
        <v>11620</v>
      </c>
      <c r="AK6" s="29">
        <f t="shared" ref="AK6" si="11">AJ6*C6</f>
        <v>7436.8</v>
      </c>
      <c r="AL6" s="29">
        <v>960</v>
      </c>
      <c r="AM6" s="29">
        <v>13440</v>
      </c>
      <c r="AN6" s="29">
        <f t="shared" ref="AN6" si="12">C6*AM6</f>
        <v>8601.6</v>
      </c>
      <c r="AO6" s="28">
        <f t="shared" ref="AO6:AO7" si="13">E6+H6+K6+N6+Q6+T6+W6+Z6+AC6+AF6+AI6+AL6</f>
        <v>10036</v>
      </c>
      <c r="AP6" s="28">
        <f t="shared" ref="AP6:AP7" si="14">F6+I6+L6+O6+R6+U6+X6+AA6+AD6+AG6+AJ6+AM6</f>
        <v>140504</v>
      </c>
      <c r="AQ6" s="28">
        <f t="shared" ref="AQ6:AQ7" si="15">G6+J6+M6+P6+S6+V6+Y6+AB6+AE6+AH6+AK6+AN6</f>
        <v>89922.560000000012</v>
      </c>
    </row>
    <row r="7" spans="1:43" x14ac:dyDescent="0.5">
      <c r="A7" s="28">
        <v>3</v>
      </c>
      <c r="B7" s="30" t="s">
        <v>92</v>
      </c>
      <c r="C7" s="30">
        <v>0.64</v>
      </c>
      <c r="D7" s="30" t="s">
        <v>99</v>
      </c>
      <c r="E7" s="29"/>
      <c r="F7" s="29"/>
      <c r="G7" s="29">
        <f t="shared" si="1"/>
        <v>0</v>
      </c>
      <c r="H7" s="29"/>
      <c r="I7" s="29"/>
      <c r="J7" s="29">
        <f t="shared" si="2"/>
        <v>0</v>
      </c>
      <c r="K7" s="29"/>
      <c r="L7" s="29"/>
      <c r="M7" s="29">
        <f t="shared" si="3"/>
        <v>0</v>
      </c>
      <c r="N7" s="29"/>
      <c r="O7" s="29"/>
      <c r="P7" s="29">
        <f t="shared" si="4"/>
        <v>0</v>
      </c>
      <c r="Q7" s="29"/>
      <c r="R7" s="29"/>
      <c r="S7" s="29">
        <f t="shared" si="5"/>
        <v>0</v>
      </c>
      <c r="T7" s="29"/>
      <c r="U7" s="29"/>
      <c r="V7" s="29">
        <f t="shared" si="6"/>
        <v>0</v>
      </c>
      <c r="W7" s="29"/>
      <c r="X7" s="29"/>
      <c r="Y7" s="29">
        <f t="shared" si="7"/>
        <v>0</v>
      </c>
      <c r="Z7" s="29"/>
      <c r="AA7" s="29"/>
      <c r="AB7" s="29">
        <f t="shared" si="8"/>
        <v>0</v>
      </c>
      <c r="AC7" s="29"/>
      <c r="AD7" s="29"/>
      <c r="AE7" s="29">
        <f t="shared" si="9"/>
        <v>0</v>
      </c>
      <c r="AF7" s="29"/>
      <c r="AG7" s="29"/>
      <c r="AH7" s="29">
        <f t="shared" si="10"/>
        <v>0</v>
      </c>
      <c r="AI7" s="29">
        <v>31</v>
      </c>
      <c r="AJ7" s="29">
        <v>744</v>
      </c>
      <c r="AK7" s="29">
        <f>AJ7*C7</f>
        <v>476.16</v>
      </c>
      <c r="AL7" s="29">
        <v>20</v>
      </c>
      <c r="AM7" s="29">
        <v>480</v>
      </c>
      <c r="AN7" s="29">
        <f>AM7*C7</f>
        <v>307.2</v>
      </c>
      <c r="AO7" s="28">
        <f t="shared" si="13"/>
        <v>51</v>
      </c>
      <c r="AP7" s="28">
        <f t="shared" si="14"/>
        <v>1224</v>
      </c>
      <c r="AQ7" s="28">
        <f t="shared" si="15"/>
        <v>783.36</v>
      </c>
    </row>
    <row r="8" spans="1:43" x14ac:dyDescent="0.5">
      <c r="A8" s="24"/>
      <c r="B8" s="239" t="s">
        <v>10</v>
      </c>
      <c r="C8" s="240"/>
      <c r="D8" s="241"/>
      <c r="E8" s="22">
        <f t="shared" ref="E8:AQ8" si="16">SUM(E5:E7)</f>
        <v>810</v>
      </c>
      <c r="F8" s="22">
        <f t="shared" si="16"/>
        <v>11340</v>
      </c>
      <c r="G8" s="22">
        <f t="shared" si="16"/>
        <v>7257.6</v>
      </c>
      <c r="H8" s="22">
        <f t="shared" si="16"/>
        <v>879</v>
      </c>
      <c r="I8" s="22">
        <f t="shared" si="16"/>
        <v>12306</v>
      </c>
      <c r="J8" s="22">
        <f t="shared" si="16"/>
        <v>7875.84</v>
      </c>
      <c r="K8" s="22">
        <f t="shared" si="16"/>
        <v>705</v>
      </c>
      <c r="L8" s="22">
        <f t="shared" si="16"/>
        <v>9870</v>
      </c>
      <c r="M8" s="22">
        <f t="shared" si="16"/>
        <v>6316.8</v>
      </c>
      <c r="N8" s="22">
        <f t="shared" si="16"/>
        <v>703</v>
      </c>
      <c r="O8" s="22">
        <f t="shared" si="16"/>
        <v>9842</v>
      </c>
      <c r="P8" s="22">
        <f t="shared" si="16"/>
        <v>6298.88</v>
      </c>
      <c r="Q8" s="22">
        <f t="shared" si="16"/>
        <v>1059</v>
      </c>
      <c r="R8" s="22">
        <f t="shared" si="16"/>
        <v>14826</v>
      </c>
      <c r="S8" s="22">
        <f t="shared" si="16"/>
        <v>9488.64</v>
      </c>
      <c r="T8" s="22">
        <f t="shared" si="16"/>
        <v>870</v>
      </c>
      <c r="U8" s="22">
        <f t="shared" si="16"/>
        <v>12180</v>
      </c>
      <c r="V8" s="22">
        <f t="shared" si="16"/>
        <v>7795.2</v>
      </c>
      <c r="W8" s="22">
        <f t="shared" si="16"/>
        <v>1100</v>
      </c>
      <c r="X8" s="22">
        <f t="shared" si="16"/>
        <v>15400</v>
      </c>
      <c r="Y8" s="22">
        <f t="shared" si="16"/>
        <v>9856</v>
      </c>
      <c r="Z8" s="22">
        <f t="shared" si="16"/>
        <v>815</v>
      </c>
      <c r="AA8" s="22">
        <f t="shared" si="16"/>
        <v>11410</v>
      </c>
      <c r="AB8" s="22">
        <f t="shared" si="16"/>
        <v>7302.4000000000005</v>
      </c>
      <c r="AC8" s="22">
        <f t="shared" si="16"/>
        <v>705</v>
      </c>
      <c r="AD8" s="22">
        <f t="shared" si="16"/>
        <v>9870</v>
      </c>
      <c r="AE8" s="22">
        <f t="shared" si="16"/>
        <v>6316.8</v>
      </c>
      <c r="AF8" s="22">
        <f t="shared" si="16"/>
        <v>965</v>
      </c>
      <c r="AG8" s="22">
        <f t="shared" si="16"/>
        <v>14014</v>
      </c>
      <c r="AH8" s="22">
        <f t="shared" si="16"/>
        <v>8968.9599999999991</v>
      </c>
      <c r="AI8" s="22">
        <f t="shared" si="16"/>
        <v>941</v>
      </c>
      <c r="AJ8" s="22">
        <f t="shared" si="16"/>
        <v>13484</v>
      </c>
      <c r="AK8" s="22">
        <f t="shared" si="16"/>
        <v>8629.76</v>
      </c>
      <c r="AL8" s="22">
        <f t="shared" si="16"/>
        <v>1140</v>
      </c>
      <c r="AM8" s="22">
        <f t="shared" si="16"/>
        <v>16160</v>
      </c>
      <c r="AN8" s="22">
        <f t="shared" si="16"/>
        <v>10342.400000000001</v>
      </c>
      <c r="AO8" s="22">
        <f t="shared" si="16"/>
        <v>10692</v>
      </c>
      <c r="AP8" s="22">
        <f t="shared" si="16"/>
        <v>150702</v>
      </c>
      <c r="AQ8" s="22">
        <f t="shared" si="16"/>
        <v>96449.280000000013</v>
      </c>
    </row>
    <row r="9" spans="1:43" x14ac:dyDescent="0.5">
      <c r="A9" s="39"/>
      <c r="B9" s="30"/>
      <c r="C9" s="30"/>
      <c r="D9" s="30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5">
      <c r="A10" s="39">
        <v>1</v>
      </c>
      <c r="B10" s="30" t="s">
        <v>6</v>
      </c>
      <c r="C10" s="1">
        <v>0.7</v>
      </c>
      <c r="D10" s="1" t="s">
        <v>96</v>
      </c>
      <c r="E10" s="29"/>
      <c r="F10" s="29"/>
      <c r="G10" s="29"/>
      <c r="H10" s="29">
        <v>1</v>
      </c>
      <c r="I10" s="29">
        <v>12</v>
      </c>
      <c r="J10" s="29">
        <f>I10*C10</f>
        <v>8.3999999999999986</v>
      </c>
      <c r="K10" s="29"/>
      <c r="L10" s="29"/>
      <c r="M10" s="29"/>
      <c r="N10" s="29"/>
      <c r="O10" s="29"/>
      <c r="P10" s="29"/>
      <c r="Q10" s="29"/>
      <c r="R10" s="29"/>
      <c r="S10" s="29">
        <f>R10*C10</f>
        <v>0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5">
      <c r="A11" s="39">
        <v>2</v>
      </c>
      <c r="B11" s="30" t="s">
        <v>5</v>
      </c>
      <c r="C11" s="1">
        <v>0.35</v>
      </c>
      <c r="D11" s="1" t="s">
        <v>98</v>
      </c>
      <c r="E11" s="29"/>
      <c r="F11" s="29"/>
      <c r="G11" s="29"/>
      <c r="H11" s="29">
        <v>1</v>
      </c>
      <c r="I11" s="29">
        <v>24</v>
      </c>
      <c r="J11" s="29">
        <f t="shared" ref="J11:J18" si="17">I11*C11</f>
        <v>8.3999999999999986</v>
      </c>
      <c r="K11" s="29"/>
      <c r="L11" s="29"/>
      <c r="M11" s="29"/>
      <c r="N11" s="29"/>
      <c r="O11" s="29"/>
      <c r="P11" s="29"/>
      <c r="Q11" s="29"/>
      <c r="R11" s="29"/>
      <c r="S11" s="29">
        <f t="shared" ref="S11:S18" si="18">R11*C11</f>
        <v>0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5">
      <c r="A12" s="39">
        <v>3</v>
      </c>
      <c r="B12" s="30" t="s">
        <v>4</v>
      </c>
      <c r="C12" s="1">
        <v>0.17499999999999999</v>
      </c>
      <c r="D12" s="1" t="s">
        <v>100</v>
      </c>
      <c r="E12" s="29"/>
      <c r="F12" s="29"/>
      <c r="G12" s="29"/>
      <c r="H12" s="29"/>
      <c r="I12" s="29"/>
      <c r="J12" s="29">
        <f t="shared" si="17"/>
        <v>0</v>
      </c>
      <c r="K12" s="29"/>
      <c r="L12" s="29"/>
      <c r="M12" s="29"/>
      <c r="N12" s="29"/>
      <c r="O12" s="29"/>
      <c r="P12" s="29"/>
      <c r="Q12" s="29"/>
      <c r="R12" s="29"/>
      <c r="S12" s="29">
        <f t="shared" si="18"/>
        <v>0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5">
      <c r="A13" s="39">
        <v>4</v>
      </c>
      <c r="B13" s="30" t="s">
        <v>3</v>
      </c>
      <c r="C13" s="1">
        <v>0.7</v>
      </c>
      <c r="D13" s="1" t="s">
        <v>96</v>
      </c>
      <c r="E13" s="29"/>
      <c r="F13" s="29"/>
      <c r="G13" s="29"/>
      <c r="H13" s="29"/>
      <c r="I13" s="29"/>
      <c r="J13" s="29">
        <f t="shared" si="17"/>
        <v>0</v>
      </c>
      <c r="K13" s="29"/>
      <c r="L13" s="29"/>
      <c r="M13" s="29"/>
      <c r="N13" s="29"/>
      <c r="O13" s="29"/>
      <c r="P13" s="29"/>
      <c r="Q13" s="29">
        <f>183/12</f>
        <v>15.25</v>
      </c>
      <c r="R13" s="29">
        <v>183</v>
      </c>
      <c r="S13" s="29">
        <f t="shared" si="18"/>
        <v>128.1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5">
      <c r="A14" s="39">
        <v>5</v>
      </c>
      <c r="B14" s="30" t="s">
        <v>2</v>
      </c>
      <c r="C14" s="1">
        <v>0.35</v>
      </c>
      <c r="D14" s="1" t="s">
        <v>98</v>
      </c>
      <c r="E14" s="29"/>
      <c r="F14" s="29"/>
      <c r="G14" s="29">
        <f>F14*C14</f>
        <v>0</v>
      </c>
      <c r="H14" s="29"/>
      <c r="I14" s="29"/>
      <c r="J14" s="29">
        <f t="shared" si="17"/>
        <v>0</v>
      </c>
      <c r="K14" s="29"/>
      <c r="L14" s="29"/>
      <c r="M14" s="29"/>
      <c r="N14" s="29"/>
      <c r="O14" s="29"/>
      <c r="P14" s="29"/>
      <c r="Q14" s="29">
        <f>77/24</f>
        <v>3.2083333333333335</v>
      </c>
      <c r="R14" s="29">
        <v>77</v>
      </c>
      <c r="S14" s="29">
        <f t="shared" si="18"/>
        <v>26.95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5">
      <c r="A15" s="39">
        <v>6</v>
      </c>
      <c r="B15" s="30" t="s">
        <v>1</v>
      </c>
      <c r="C15" s="1">
        <v>0.17499999999999999</v>
      </c>
      <c r="D15" s="1" t="s">
        <v>100</v>
      </c>
      <c r="E15" s="29"/>
      <c r="F15" s="29"/>
      <c r="G15" s="29">
        <f t="shared" ref="G15:G17" si="19">F15*C15</f>
        <v>0</v>
      </c>
      <c r="H15" s="29"/>
      <c r="I15" s="29"/>
      <c r="J15" s="29">
        <f t="shared" si="17"/>
        <v>0</v>
      </c>
      <c r="K15" s="29"/>
      <c r="L15" s="29"/>
      <c r="M15" s="29"/>
      <c r="N15" s="29"/>
      <c r="O15" s="29"/>
      <c r="P15" s="29"/>
      <c r="Q15" s="29"/>
      <c r="R15" s="29"/>
      <c r="S15" s="29">
        <f t="shared" si="18"/>
        <v>0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5">
      <c r="A16" s="39">
        <v>7</v>
      </c>
      <c r="B16" s="30" t="s">
        <v>0</v>
      </c>
      <c r="C16" s="1">
        <v>0.7</v>
      </c>
      <c r="D16" s="1" t="s">
        <v>96</v>
      </c>
      <c r="E16" s="29"/>
      <c r="F16" s="29"/>
      <c r="G16" s="29">
        <f t="shared" si="19"/>
        <v>0</v>
      </c>
      <c r="H16" s="29"/>
      <c r="I16" s="29"/>
      <c r="J16" s="29">
        <f t="shared" si="17"/>
        <v>0</v>
      </c>
      <c r="K16" s="29"/>
      <c r="L16" s="29"/>
      <c r="M16" s="29"/>
      <c r="N16" s="29"/>
      <c r="O16" s="29"/>
      <c r="P16" s="29"/>
      <c r="Q16" s="29"/>
      <c r="R16" s="29"/>
      <c r="S16" s="29">
        <f t="shared" si="18"/>
        <v>0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5">
      <c r="A17" s="39">
        <v>8</v>
      </c>
      <c r="B17" s="30" t="s">
        <v>8</v>
      </c>
      <c r="C17" s="1">
        <v>0.7</v>
      </c>
      <c r="D17" s="1" t="s">
        <v>96</v>
      </c>
      <c r="E17" s="29"/>
      <c r="F17" s="29"/>
      <c r="G17" s="29">
        <f t="shared" si="19"/>
        <v>0</v>
      </c>
      <c r="H17" s="29"/>
      <c r="I17" s="29"/>
      <c r="J17" s="29">
        <f t="shared" si="17"/>
        <v>0</v>
      </c>
      <c r="K17" s="29"/>
      <c r="L17" s="29"/>
      <c r="M17" s="29"/>
      <c r="N17" s="29"/>
      <c r="O17" s="29"/>
      <c r="P17" s="29"/>
      <c r="Q17" s="29"/>
      <c r="R17" s="29"/>
      <c r="S17" s="29">
        <f t="shared" si="18"/>
        <v>0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5">
      <c r="A18" s="39">
        <v>9</v>
      </c>
      <c r="B18" s="30" t="s">
        <v>7</v>
      </c>
      <c r="C18" s="1">
        <v>0.35</v>
      </c>
      <c r="D18" s="1" t="s">
        <v>98</v>
      </c>
      <c r="E18" s="29"/>
      <c r="F18" s="29"/>
      <c r="G18" s="29"/>
      <c r="H18" s="29"/>
      <c r="I18" s="29"/>
      <c r="J18" s="29">
        <f t="shared" si="17"/>
        <v>0</v>
      </c>
      <c r="K18" s="29"/>
      <c r="L18" s="29"/>
      <c r="M18" s="29"/>
      <c r="N18" s="29"/>
      <c r="O18" s="29"/>
      <c r="P18" s="29"/>
      <c r="Q18" s="29"/>
      <c r="R18" s="29"/>
      <c r="S18" s="29">
        <f t="shared" si="18"/>
        <v>0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5">
      <c r="A19" s="46"/>
      <c r="B19" s="239" t="s">
        <v>10</v>
      </c>
      <c r="C19" s="240"/>
      <c r="D19" s="241"/>
      <c r="E19" s="22">
        <f t="shared" ref="E19:F19" si="20">SUM(E10:E18)</f>
        <v>0</v>
      </c>
      <c r="F19" s="22">
        <f t="shared" si="20"/>
        <v>0</v>
      </c>
      <c r="G19" s="22">
        <f>SUM(G10:G18)</f>
        <v>0</v>
      </c>
      <c r="H19" s="22">
        <f t="shared" ref="H19:AN19" si="21">SUM(H10:H18)</f>
        <v>2</v>
      </c>
      <c r="I19" s="22">
        <f t="shared" si="21"/>
        <v>36</v>
      </c>
      <c r="J19" s="22">
        <f t="shared" si="21"/>
        <v>16.799999999999997</v>
      </c>
      <c r="K19" s="22">
        <f t="shared" si="21"/>
        <v>0</v>
      </c>
      <c r="L19" s="22">
        <f t="shared" si="21"/>
        <v>0</v>
      </c>
      <c r="M19" s="22">
        <f t="shared" si="21"/>
        <v>0</v>
      </c>
      <c r="N19" s="22">
        <f t="shared" si="21"/>
        <v>0</v>
      </c>
      <c r="O19" s="22">
        <f t="shared" si="21"/>
        <v>0</v>
      </c>
      <c r="P19" s="22">
        <f t="shared" si="21"/>
        <v>0</v>
      </c>
      <c r="Q19" s="22">
        <f t="shared" si="21"/>
        <v>18.458333333333332</v>
      </c>
      <c r="R19" s="22">
        <f t="shared" si="21"/>
        <v>260</v>
      </c>
      <c r="S19" s="22">
        <f t="shared" si="21"/>
        <v>155.04999999999998</v>
      </c>
      <c r="T19" s="22">
        <f t="shared" si="21"/>
        <v>0</v>
      </c>
      <c r="U19" s="22">
        <f t="shared" si="21"/>
        <v>0</v>
      </c>
      <c r="V19" s="22">
        <f t="shared" si="21"/>
        <v>0</v>
      </c>
      <c r="W19" s="22">
        <f t="shared" si="21"/>
        <v>0</v>
      </c>
      <c r="X19" s="22">
        <f t="shared" si="21"/>
        <v>0</v>
      </c>
      <c r="Y19" s="22">
        <f t="shared" si="21"/>
        <v>0</v>
      </c>
      <c r="Z19" s="22">
        <f t="shared" si="21"/>
        <v>0</v>
      </c>
      <c r="AA19" s="22">
        <f t="shared" si="21"/>
        <v>0</v>
      </c>
      <c r="AB19" s="22">
        <f t="shared" si="21"/>
        <v>0</v>
      </c>
      <c r="AC19" s="22">
        <f t="shared" si="21"/>
        <v>0</v>
      </c>
      <c r="AD19" s="22">
        <f t="shared" si="21"/>
        <v>0</v>
      </c>
      <c r="AE19" s="22">
        <f t="shared" si="21"/>
        <v>0</v>
      </c>
      <c r="AF19" s="22">
        <f t="shared" si="21"/>
        <v>0</v>
      </c>
      <c r="AG19" s="22">
        <f t="shared" si="21"/>
        <v>0</v>
      </c>
      <c r="AH19" s="22">
        <f t="shared" si="21"/>
        <v>0</v>
      </c>
      <c r="AI19" s="22">
        <f t="shared" si="21"/>
        <v>0</v>
      </c>
      <c r="AJ19" s="22">
        <f t="shared" si="21"/>
        <v>0</v>
      </c>
      <c r="AK19" s="22">
        <f t="shared" si="21"/>
        <v>0</v>
      </c>
      <c r="AL19" s="22">
        <f t="shared" si="21"/>
        <v>0</v>
      </c>
      <c r="AM19" s="22">
        <f t="shared" si="21"/>
        <v>0</v>
      </c>
      <c r="AN19" s="22">
        <f t="shared" si="21"/>
        <v>0</v>
      </c>
      <c r="AO19" s="22">
        <f t="shared" ref="AO19:AQ19" si="22">SUM(AO10:AO18)</f>
        <v>0</v>
      </c>
      <c r="AP19" s="22">
        <f t="shared" si="22"/>
        <v>0</v>
      </c>
      <c r="AQ19" s="22">
        <f t="shared" si="22"/>
        <v>0</v>
      </c>
    </row>
    <row r="20" spans="1:43" x14ac:dyDescent="0.5">
      <c r="A20" s="45"/>
      <c r="B20" s="242" t="s">
        <v>49</v>
      </c>
      <c r="C20" s="243"/>
      <c r="D20" s="244"/>
      <c r="E20" s="38">
        <f t="shared" ref="E20:F20" si="23">E8+E19</f>
        <v>810</v>
      </c>
      <c r="F20" s="38">
        <f t="shared" si="23"/>
        <v>11340</v>
      </c>
      <c r="G20" s="38">
        <f>G8+G19</f>
        <v>7257.6</v>
      </c>
      <c r="H20" s="38">
        <f t="shared" ref="H20" si="24">H8+H19</f>
        <v>881</v>
      </c>
      <c r="I20" s="38"/>
      <c r="J20" s="37">
        <f t="shared" ref="J20:K20" si="25">J8+J19</f>
        <v>7892.64</v>
      </c>
      <c r="K20" s="38">
        <f t="shared" si="25"/>
        <v>705</v>
      </c>
      <c r="L20" s="38"/>
      <c r="M20" s="37">
        <f t="shared" ref="M20:N20" si="26">M8+M19</f>
        <v>6316.8</v>
      </c>
      <c r="N20" s="38">
        <f t="shared" si="26"/>
        <v>703</v>
      </c>
      <c r="O20" s="38"/>
      <c r="P20" s="37">
        <f t="shared" ref="P20:Q20" si="27">P8+P19</f>
        <v>6298.88</v>
      </c>
      <c r="Q20" s="38">
        <f t="shared" si="27"/>
        <v>1077.4583333333333</v>
      </c>
      <c r="R20" s="38"/>
      <c r="S20" s="37">
        <f t="shared" ref="S20:T20" si="28">S8+S19</f>
        <v>9643.6899999999987</v>
      </c>
      <c r="T20" s="38">
        <f t="shared" si="28"/>
        <v>870</v>
      </c>
      <c r="U20" s="38"/>
      <c r="V20" s="37">
        <f t="shared" ref="V20:W20" si="29">V8+V19</f>
        <v>7795.2</v>
      </c>
      <c r="W20" s="38">
        <f t="shared" si="29"/>
        <v>1100</v>
      </c>
      <c r="X20" s="38"/>
      <c r="Y20" s="37">
        <f t="shared" ref="Y20:Z20" si="30">Y8+Y19</f>
        <v>9856</v>
      </c>
      <c r="Z20" s="38">
        <f t="shared" si="30"/>
        <v>815</v>
      </c>
      <c r="AA20" s="38"/>
      <c r="AB20" s="37">
        <f t="shared" ref="AB20:AC20" si="31">AB8+AB19</f>
        <v>7302.4000000000005</v>
      </c>
      <c r="AC20" s="38">
        <f t="shared" si="31"/>
        <v>705</v>
      </c>
      <c r="AD20" s="38"/>
      <c r="AE20" s="37">
        <f t="shared" ref="AE20:AF20" si="32">AE8+AE19</f>
        <v>6316.8</v>
      </c>
      <c r="AF20" s="38">
        <f t="shared" si="32"/>
        <v>965</v>
      </c>
      <c r="AG20" s="38"/>
      <c r="AH20" s="37">
        <f t="shared" ref="AH20:AI20" si="33">AH8+AH19</f>
        <v>8968.9599999999991</v>
      </c>
      <c r="AI20" s="38">
        <f t="shared" si="33"/>
        <v>941</v>
      </c>
      <c r="AJ20" s="38"/>
      <c r="AK20" s="37">
        <f t="shared" ref="AK20:AL20" si="34">AK8+AK19</f>
        <v>8629.76</v>
      </c>
      <c r="AL20" s="38">
        <f t="shared" si="34"/>
        <v>1140</v>
      </c>
      <c r="AM20" s="38"/>
      <c r="AN20" s="37">
        <f t="shared" ref="AN20:AO20" si="35">AN8+AN19</f>
        <v>10342.400000000001</v>
      </c>
      <c r="AO20" s="38">
        <f t="shared" si="35"/>
        <v>10692</v>
      </c>
      <c r="AP20" s="38"/>
      <c r="AQ20" s="37">
        <f t="shared" ref="AQ20" si="36">AQ8+AQ19</f>
        <v>96449.280000000013</v>
      </c>
    </row>
    <row r="24" spans="1:43" ht="25.15" customHeight="1" x14ac:dyDescent="0.5">
      <c r="B24" s="41" t="s">
        <v>103</v>
      </c>
    </row>
    <row r="25" spans="1:43" ht="15" customHeight="1" x14ac:dyDescent="0.5"/>
    <row r="26" spans="1:43" ht="42.75" customHeight="1" x14ac:dyDescent="0.5">
      <c r="A26" s="245" t="s">
        <v>52</v>
      </c>
      <c r="B26" s="245" t="s">
        <v>51</v>
      </c>
      <c r="C26" s="247" t="s">
        <v>117</v>
      </c>
      <c r="D26" s="247" t="s">
        <v>95</v>
      </c>
      <c r="E26" s="236" t="s">
        <v>113</v>
      </c>
      <c r="F26" s="237"/>
      <c r="G26" s="238"/>
      <c r="H26" s="236" t="s">
        <v>58</v>
      </c>
      <c r="I26" s="237"/>
      <c r="J26" s="238"/>
      <c r="K26" s="236" t="s">
        <v>59</v>
      </c>
      <c r="L26" s="237"/>
      <c r="M26" s="238"/>
      <c r="N26" s="236" t="s">
        <v>60</v>
      </c>
      <c r="O26" s="237"/>
      <c r="P26" s="238"/>
      <c r="Q26" s="236" t="s">
        <v>61</v>
      </c>
      <c r="R26" s="237"/>
      <c r="S26" s="238"/>
      <c r="T26" s="236" t="s">
        <v>62</v>
      </c>
      <c r="U26" s="237"/>
      <c r="V26" s="238"/>
      <c r="W26" s="236" t="s">
        <v>63</v>
      </c>
      <c r="X26" s="237"/>
      <c r="Y26" s="238"/>
      <c r="Z26" s="236" t="s">
        <v>64</v>
      </c>
      <c r="AA26" s="237"/>
      <c r="AB26" s="238"/>
      <c r="AC26" s="236" t="s">
        <v>65</v>
      </c>
      <c r="AD26" s="237"/>
      <c r="AE26" s="238"/>
      <c r="AF26" s="236" t="s">
        <v>18</v>
      </c>
      <c r="AG26" s="237"/>
      <c r="AH26" s="238"/>
      <c r="AI26" s="236" t="s">
        <v>17</v>
      </c>
      <c r="AJ26" s="237"/>
      <c r="AK26" s="238"/>
      <c r="AL26" s="236" t="s">
        <v>16</v>
      </c>
      <c r="AM26" s="237"/>
      <c r="AN26" s="238"/>
      <c r="AO26" s="236" t="s">
        <v>10</v>
      </c>
      <c r="AP26" s="237"/>
      <c r="AQ26" s="238"/>
    </row>
    <row r="27" spans="1:43" ht="25.15" customHeight="1" x14ac:dyDescent="0.5">
      <c r="A27" s="246"/>
      <c r="B27" s="246"/>
      <c r="C27" s="248"/>
      <c r="D27" s="248"/>
      <c r="E27" s="40" t="s">
        <v>50</v>
      </c>
      <c r="F27" s="40" t="s">
        <v>56</v>
      </c>
      <c r="G27" s="40" t="s">
        <v>93</v>
      </c>
      <c r="H27" s="40" t="s">
        <v>50</v>
      </c>
      <c r="I27" s="40" t="s">
        <v>56</v>
      </c>
      <c r="J27" s="40" t="s">
        <v>57</v>
      </c>
      <c r="K27" s="40" t="s">
        <v>50</v>
      </c>
      <c r="L27" s="40" t="s">
        <v>56</v>
      </c>
      <c r="M27" s="40" t="s">
        <v>57</v>
      </c>
      <c r="N27" s="40" t="s">
        <v>50</v>
      </c>
      <c r="O27" s="40" t="s">
        <v>56</v>
      </c>
      <c r="P27" s="40" t="s">
        <v>57</v>
      </c>
      <c r="Q27" s="40" t="s">
        <v>50</v>
      </c>
      <c r="R27" s="40" t="s">
        <v>56</v>
      </c>
      <c r="S27" s="40" t="s">
        <v>57</v>
      </c>
      <c r="T27" s="40" t="s">
        <v>50</v>
      </c>
      <c r="U27" s="40" t="s">
        <v>56</v>
      </c>
      <c r="V27" s="40" t="s">
        <v>57</v>
      </c>
      <c r="W27" s="40" t="s">
        <v>50</v>
      </c>
      <c r="X27" s="40" t="s">
        <v>56</v>
      </c>
      <c r="Y27" s="40" t="s">
        <v>57</v>
      </c>
      <c r="Z27" s="40" t="s">
        <v>50</v>
      </c>
      <c r="AA27" s="40" t="s">
        <v>56</v>
      </c>
      <c r="AB27" s="40" t="s">
        <v>57</v>
      </c>
      <c r="AC27" s="40" t="s">
        <v>50</v>
      </c>
      <c r="AD27" s="40" t="s">
        <v>56</v>
      </c>
      <c r="AE27" s="40" t="s">
        <v>57</v>
      </c>
      <c r="AF27" s="40" t="s">
        <v>50</v>
      </c>
      <c r="AG27" s="40" t="s">
        <v>56</v>
      </c>
      <c r="AH27" s="40" t="s">
        <v>57</v>
      </c>
      <c r="AI27" s="40" t="s">
        <v>50</v>
      </c>
      <c r="AJ27" s="40" t="s">
        <v>56</v>
      </c>
      <c r="AK27" s="40" t="s">
        <v>57</v>
      </c>
      <c r="AL27" s="40" t="s">
        <v>50</v>
      </c>
      <c r="AM27" s="40" t="s">
        <v>56</v>
      </c>
      <c r="AN27" s="40" t="s">
        <v>57</v>
      </c>
      <c r="AO27" s="40" t="s">
        <v>50</v>
      </c>
      <c r="AP27" s="40" t="s">
        <v>56</v>
      </c>
      <c r="AQ27" s="40" t="s">
        <v>57</v>
      </c>
    </row>
    <row r="28" spans="1:43" ht="20.100000000000001" customHeight="1" x14ac:dyDescent="0.5">
      <c r="A28" s="28">
        <v>1</v>
      </c>
      <c r="B28" s="1" t="s">
        <v>150</v>
      </c>
      <c r="C28" s="30">
        <v>0.64</v>
      </c>
      <c r="D28" s="30" t="s">
        <v>99</v>
      </c>
      <c r="E28" s="28">
        <v>300.14285714285717</v>
      </c>
      <c r="F28" s="28">
        <v>4200</v>
      </c>
      <c r="G28" s="29">
        <f t="shared" ref="G28:G33" si="37">F28*C28</f>
        <v>2688</v>
      </c>
      <c r="H28" s="28">
        <v>90</v>
      </c>
      <c r="I28" s="28">
        <v>1260</v>
      </c>
      <c r="J28" s="28">
        <f>I28*C28</f>
        <v>806.4</v>
      </c>
      <c r="K28" s="28">
        <v>310</v>
      </c>
      <c r="L28" s="28">
        <v>4340</v>
      </c>
      <c r="M28" s="28">
        <f>L28*C28</f>
        <v>2777.6</v>
      </c>
      <c r="N28" s="28">
        <v>185</v>
      </c>
      <c r="O28" s="28">
        <v>2590</v>
      </c>
      <c r="P28" s="28">
        <f t="shared" ref="P28:P32" si="38">O28*C28</f>
        <v>1657.6000000000001</v>
      </c>
      <c r="Q28" s="28">
        <v>65</v>
      </c>
      <c r="R28" s="28">
        <v>910</v>
      </c>
      <c r="S28" s="28">
        <f>R28*C28</f>
        <v>582.4</v>
      </c>
      <c r="T28" s="28">
        <v>603</v>
      </c>
      <c r="U28" s="28">
        <v>8442</v>
      </c>
      <c r="V28" s="28">
        <f>U28*C28</f>
        <v>5402.88</v>
      </c>
      <c r="W28" s="28">
        <v>50</v>
      </c>
      <c r="X28" s="28">
        <v>700</v>
      </c>
      <c r="Y28" s="28">
        <f>X28*C28</f>
        <v>448</v>
      </c>
      <c r="Z28" s="28">
        <v>200</v>
      </c>
      <c r="AA28" s="28">
        <v>2800</v>
      </c>
      <c r="AB28" s="28">
        <v>1792</v>
      </c>
      <c r="AC28" s="28">
        <v>100</v>
      </c>
      <c r="AD28" s="28">
        <v>1400</v>
      </c>
      <c r="AE28" s="28">
        <v>896</v>
      </c>
      <c r="AF28" s="28"/>
      <c r="AG28" s="28"/>
      <c r="AH28" s="28"/>
      <c r="AI28" s="28">
        <v>30</v>
      </c>
      <c r="AJ28" s="28">
        <v>720</v>
      </c>
      <c r="AK28" s="28">
        <v>460.8</v>
      </c>
      <c r="AL28" s="28">
        <v>30</v>
      </c>
      <c r="AM28" s="28">
        <v>720</v>
      </c>
      <c r="AN28" s="28">
        <v>460.8</v>
      </c>
      <c r="AO28" s="28"/>
      <c r="AP28" s="28"/>
      <c r="AQ28" s="28"/>
    </row>
    <row r="29" spans="1:43" ht="20.100000000000001" customHeight="1" x14ac:dyDescent="0.5">
      <c r="A29" s="28">
        <v>2</v>
      </c>
      <c r="B29" s="1" t="s">
        <v>88</v>
      </c>
      <c r="C29" s="30">
        <v>0.64</v>
      </c>
      <c r="D29" s="30" t="s">
        <v>98</v>
      </c>
      <c r="E29" s="28">
        <v>100</v>
      </c>
      <c r="F29" s="28">
        <v>2400</v>
      </c>
      <c r="G29" s="29">
        <f t="shared" si="37"/>
        <v>1536</v>
      </c>
      <c r="H29" s="28"/>
      <c r="I29" s="28"/>
      <c r="J29" s="28">
        <f t="shared" ref="J29:J33" si="39">I29*C29</f>
        <v>0</v>
      </c>
      <c r="K29" s="28">
        <v>120</v>
      </c>
      <c r="L29" s="28">
        <v>2880</v>
      </c>
      <c r="M29" s="28">
        <f t="shared" ref="M29:M33" si="40">L29*C29</f>
        <v>1843.2</v>
      </c>
      <c r="N29" s="28"/>
      <c r="O29" s="28"/>
      <c r="P29" s="28">
        <f t="shared" si="38"/>
        <v>0</v>
      </c>
      <c r="Q29" s="28"/>
      <c r="R29" s="28"/>
      <c r="S29" s="28">
        <f t="shared" ref="S29:S34" si="41">R29*C29</f>
        <v>0</v>
      </c>
      <c r="T29" s="28"/>
      <c r="U29" s="28"/>
      <c r="V29" s="28">
        <f t="shared" ref="V29:V34" si="42">U29*C29</f>
        <v>0</v>
      </c>
      <c r="W29" s="28"/>
      <c r="X29" s="28"/>
      <c r="Y29" s="28">
        <f t="shared" ref="Y29:Y34" si="43">X29*C29</f>
        <v>0</v>
      </c>
      <c r="Z29" s="28"/>
      <c r="AA29" s="28"/>
      <c r="AB29" s="28"/>
      <c r="AC29" s="28"/>
      <c r="AD29" s="28"/>
      <c r="AE29" s="28"/>
      <c r="AF29" s="28">
        <v>261</v>
      </c>
      <c r="AG29" s="28">
        <v>4154</v>
      </c>
      <c r="AH29" s="28">
        <v>2658.56</v>
      </c>
      <c r="AI29" s="28">
        <v>150</v>
      </c>
      <c r="AJ29" s="28">
        <v>2100</v>
      </c>
      <c r="AK29" s="28">
        <v>1344</v>
      </c>
      <c r="AL29" s="28">
        <v>145</v>
      </c>
      <c r="AM29" s="28">
        <v>2030</v>
      </c>
      <c r="AN29" s="28">
        <v>1299.2</v>
      </c>
      <c r="AO29" s="28"/>
      <c r="AP29" s="28"/>
      <c r="AQ29" s="28"/>
    </row>
    <row r="30" spans="1:43" ht="20.100000000000001" customHeight="1" x14ac:dyDescent="0.5">
      <c r="A30" s="28">
        <v>3</v>
      </c>
      <c r="B30" s="1" t="s">
        <v>9</v>
      </c>
      <c r="C30" s="30">
        <v>0.64</v>
      </c>
      <c r="D30" s="30" t="s">
        <v>99</v>
      </c>
      <c r="E30" s="28">
        <v>780</v>
      </c>
      <c r="F30" s="28">
        <v>10920</v>
      </c>
      <c r="G30" s="29">
        <f t="shared" si="37"/>
        <v>6988.8</v>
      </c>
      <c r="H30" s="28">
        <v>955</v>
      </c>
      <c r="I30" s="28">
        <v>13370</v>
      </c>
      <c r="J30" s="28">
        <f t="shared" si="39"/>
        <v>8556.7999999999993</v>
      </c>
      <c r="K30" s="28"/>
      <c r="L30" s="28"/>
      <c r="M30" s="28">
        <f t="shared" si="40"/>
        <v>0</v>
      </c>
      <c r="N30" s="28">
        <v>730</v>
      </c>
      <c r="O30" s="28">
        <v>10220</v>
      </c>
      <c r="P30" s="28">
        <f>O30*C30</f>
        <v>6540.8</v>
      </c>
      <c r="Q30" s="28">
        <v>1183</v>
      </c>
      <c r="R30" s="28">
        <v>16562</v>
      </c>
      <c r="S30" s="28">
        <f t="shared" si="41"/>
        <v>10599.68</v>
      </c>
      <c r="T30" s="28">
        <v>1021</v>
      </c>
      <c r="U30" s="28">
        <v>14294</v>
      </c>
      <c r="V30" s="28">
        <f t="shared" si="42"/>
        <v>9148.16</v>
      </c>
      <c r="W30" s="28"/>
      <c r="X30" s="28"/>
      <c r="Y30" s="28">
        <f t="shared" si="43"/>
        <v>0</v>
      </c>
      <c r="Z30" s="28"/>
      <c r="AA30" s="28"/>
      <c r="AB30" s="28"/>
      <c r="AC30" s="28">
        <v>1053</v>
      </c>
      <c r="AD30" s="28">
        <v>14742</v>
      </c>
      <c r="AE30" s="28">
        <v>9434.880000000001</v>
      </c>
      <c r="AF30" s="28">
        <v>945</v>
      </c>
      <c r="AG30" s="28">
        <v>13230</v>
      </c>
      <c r="AH30" s="28">
        <v>8467.2000000000007</v>
      </c>
      <c r="AI30" s="28">
        <v>1125</v>
      </c>
      <c r="AJ30" s="28">
        <v>15750</v>
      </c>
      <c r="AK30" s="28">
        <v>10080</v>
      </c>
      <c r="AL30" s="28">
        <v>1239</v>
      </c>
      <c r="AM30" s="28">
        <v>17346</v>
      </c>
      <c r="AN30" s="28">
        <v>11101.44</v>
      </c>
      <c r="AO30" s="28"/>
      <c r="AP30" s="28"/>
      <c r="AQ30" s="28"/>
    </row>
    <row r="31" spans="1:43" ht="20.100000000000001" customHeight="1" x14ac:dyDescent="0.5">
      <c r="A31" s="28">
        <v>4</v>
      </c>
      <c r="B31" s="1" t="s">
        <v>83</v>
      </c>
      <c r="C31" s="30">
        <v>1</v>
      </c>
      <c r="D31" s="30" t="s">
        <v>96</v>
      </c>
      <c r="E31" s="28"/>
      <c r="F31" s="28"/>
      <c r="G31" s="29"/>
      <c r="H31" s="28">
        <v>50</v>
      </c>
      <c r="I31" s="28">
        <v>600</v>
      </c>
      <c r="J31" s="28">
        <f t="shared" si="39"/>
        <v>600</v>
      </c>
      <c r="K31" s="28">
        <v>30</v>
      </c>
      <c r="L31" s="28">
        <v>360</v>
      </c>
      <c r="M31" s="28">
        <f t="shared" si="40"/>
        <v>360</v>
      </c>
      <c r="N31" s="28"/>
      <c r="O31" s="28"/>
      <c r="P31" s="28">
        <f t="shared" si="38"/>
        <v>0</v>
      </c>
      <c r="Q31" s="28"/>
      <c r="R31" s="28"/>
      <c r="S31" s="28">
        <f t="shared" si="41"/>
        <v>0</v>
      </c>
      <c r="T31" s="28"/>
      <c r="U31" s="28"/>
      <c r="V31" s="28">
        <f t="shared" si="42"/>
        <v>0</v>
      </c>
      <c r="W31" s="28">
        <v>50</v>
      </c>
      <c r="X31" s="28">
        <v>600</v>
      </c>
      <c r="Y31" s="28">
        <f t="shared" si="43"/>
        <v>600</v>
      </c>
      <c r="Z31" s="28"/>
      <c r="AA31" s="28"/>
      <c r="AB31" s="28"/>
      <c r="AC31" s="28"/>
      <c r="AD31" s="28"/>
      <c r="AE31" s="28"/>
      <c r="AF31" s="28">
        <v>170</v>
      </c>
      <c r="AG31" s="28">
        <v>2040</v>
      </c>
      <c r="AH31" s="28">
        <v>2040</v>
      </c>
      <c r="AI31" s="28">
        <v>95</v>
      </c>
      <c r="AJ31" s="28">
        <v>1140</v>
      </c>
      <c r="AK31" s="28">
        <v>1140</v>
      </c>
      <c r="AL31" s="28">
        <v>75</v>
      </c>
      <c r="AM31" s="28">
        <v>900</v>
      </c>
      <c r="AN31" s="28">
        <v>900</v>
      </c>
      <c r="AO31" s="28"/>
      <c r="AP31" s="28"/>
      <c r="AQ31" s="28"/>
    </row>
    <row r="32" spans="1:43" ht="20.100000000000001" customHeight="1" x14ac:dyDescent="0.5">
      <c r="A32" s="28">
        <v>5</v>
      </c>
      <c r="B32" s="1" t="s">
        <v>9</v>
      </c>
      <c r="C32" s="30">
        <v>0.64</v>
      </c>
      <c r="D32" s="30" t="s">
        <v>119</v>
      </c>
      <c r="E32" s="28"/>
      <c r="F32" s="28"/>
      <c r="G32" s="29"/>
      <c r="H32" s="28"/>
      <c r="I32" s="28"/>
      <c r="J32" s="28"/>
      <c r="K32" s="28">
        <v>1243</v>
      </c>
      <c r="L32" s="28">
        <v>17402</v>
      </c>
      <c r="M32" s="28">
        <f>L32*C32</f>
        <v>11137.28</v>
      </c>
      <c r="N32" s="28"/>
      <c r="O32" s="28"/>
      <c r="P32" s="28">
        <f t="shared" si="38"/>
        <v>0</v>
      </c>
      <c r="Q32" s="28"/>
      <c r="R32" s="28"/>
      <c r="S32" s="28">
        <f t="shared" si="41"/>
        <v>0</v>
      </c>
      <c r="T32" s="28"/>
      <c r="U32" s="28"/>
      <c r="V32" s="28">
        <f t="shared" si="42"/>
        <v>0</v>
      </c>
      <c r="W32" s="28">
        <v>1070</v>
      </c>
      <c r="X32" s="28">
        <v>14980</v>
      </c>
      <c r="Y32" s="28">
        <f t="shared" si="43"/>
        <v>9587.2000000000007</v>
      </c>
      <c r="Z32" s="28">
        <v>795</v>
      </c>
      <c r="AA32" s="28">
        <v>11130</v>
      </c>
      <c r="AB32" s="28">
        <v>7123.2</v>
      </c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ht="20.100000000000001" customHeight="1" x14ac:dyDescent="0.5">
      <c r="A33" s="28">
        <v>6</v>
      </c>
      <c r="B33" s="30" t="s">
        <v>92</v>
      </c>
      <c r="C33" s="30">
        <v>0.64</v>
      </c>
      <c r="D33" s="30" t="s">
        <v>98</v>
      </c>
      <c r="E33" s="28">
        <v>20</v>
      </c>
      <c r="F33" s="28">
        <v>480</v>
      </c>
      <c r="G33" s="29">
        <f t="shared" si="37"/>
        <v>307.2</v>
      </c>
      <c r="H33" s="28">
        <v>10</v>
      </c>
      <c r="I33" s="28">
        <v>240</v>
      </c>
      <c r="J33" s="28">
        <f t="shared" si="39"/>
        <v>153.6</v>
      </c>
      <c r="K33" s="28">
        <v>20</v>
      </c>
      <c r="L33" s="28">
        <v>480</v>
      </c>
      <c r="M33" s="28">
        <f t="shared" si="40"/>
        <v>307.2</v>
      </c>
      <c r="N33" s="28">
        <v>40</v>
      </c>
      <c r="O33" s="28">
        <v>960</v>
      </c>
      <c r="P33" s="28">
        <f>O33*C33</f>
        <v>614.4</v>
      </c>
      <c r="Q33" s="28"/>
      <c r="R33" s="28"/>
      <c r="S33" s="28">
        <f t="shared" si="41"/>
        <v>0</v>
      </c>
      <c r="T33" s="28"/>
      <c r="U33" s="28"/>
      <c r="V33" s="28">
        <f t="shared" si="42"/>
        <v>0</v>
      </c>
      <c r="W33" s="28"/>
      <c r="X33" s="28"/>
      <c r="Y33" s="28">
        <f t="shared" si="43"/>
        <v>0</v>
      </c>
      <c r="Z33" s="28"/>
      <c r="AA33" s="28"/>
      <c r="AB33" s="28"/>
      <c r="AC33" s="28"/>
      <c r="AD33" s="28"/>
      <c r="AE33" s="28"/>
      <c r="AF33" s="28">
        <v>30</v>
      </c>
      <c r="AG33" s="28">
        <v>720</v>
      </c>
      <c r="AH33" s="28">
        <v>460.8</v>
      </c>
      <c r="AI33" s="28">
        <v>10</v>
      </c>
      <c r="AJ33" s="28">
        <v>240</v>
      </c>
      <c r="AK33" s="28">
        <v>153.6</v>
      </c>
      <c r="AL33" s="28"/>
      <c r="AM33" s="28"/>
      <c r="AN33" s="28"/>
      <c r="AO33" s="28"/>
      <c r="AP33" s="28"/>
      <c r="AQ33" s="28"/>
    </row>
    <row r="34" spans="1:43" ht="20.100000000000001" customHeight="1" x14ac:dyDescent="0.5">
      <c r="A34" s="28">
        <v>7</v>
      </c>
      <c r="B34" s="30" t="s">
        <v>69</v>
      </c>
      <c r="C34" s="30">
        <v>1</v>
      </c>
      <c r="D34" s="30" t="s">
        <v>96</v>
      </c>
      <c r="E34" s="57"/>
      <c r="F34" s="57"/>
      <c r="G34" s="84"/>
      <c r="H34" s="57"/>
      <c r="I34" s="57"/>
      <c r="J34" s="57"/>
      <c r="K34" s="57"/>
      <c r="L34" s="57"/>
      <c r="M34" s="57"/>
      <c r="N34" s="57">
        <v>10</v>
      </c>
      <c r="O34" s="57">
        <v>120</v>
      </c>
      <c r="P34" s="28">
        <f>O34*C34</f>
        <v>120</v>
      </c>
      <c r="Q34" s="57"/>
      <c r="R34" s="57"/>
      <c r="S34" s="28">
        <f t="shared" si="41"/>
        <v>0</v>
      </c>
      <c r="T34" s="57"/>
      <c r="U34" s="57"/>
      <c r="V34" s="28">
        <f t="shared" si="42"/>
        <v>0</v>
      </c>
      <c r="W34" s="57"/>
      <c r="X34" s="57"/>
      <c r="Y34" s="28">
        <f t="shared" si="43"/>
        <v>0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</row>
    <row r="35" spans="1:43" s="41" customFormat="1" ht="20.100000000000001" customHeight="1" x14ac:dyDescent="0.5">
      <c r="A35" s="24"/>
      <c r="B35" s="239" t="s">
        <v>10</v>
      </c>
      <c r="C35" s="240"/>
      <c r="D35" s="241"/>
      <c r="E35" s="22">
        <f>SUM(E28:E33)</f>
        <v>1200.1428571428571</v>
      </c>
      <c r="F35" s="22">
        <f t="shared" ref="F35:AN35" si="44">SUM(F28:F33)</f>
        <v>18000</v>
      </c>
      <c r="G35" s="22">
        <f t="shared" si="44"/>
        <v>11520</v>
      </c>
      <c r="H35" s="22">
        <f t="shared" si="44"/>
        <v>1105</v>
      </c>
      <c r="I35" s="22">
        <f t="shared" si="44"/>
        <v>15470</v>
      </c>
      <c r="J35" s="22">
        <f t="shared" si="44"/>
        <v>10116.799999999999</v>
      </c>
      <c r="K35" s="22">
        <f>SUM(K28:K33)</f>
        <v>1723</v>
      </c>
      <c r="L35" s="22">
        <f t="shared" si="44"/>
        <v>25462</v>
      </c>
      <c r="M35" s="22">
        <f t="shared" si="44"/>
        <v>16425.280000000002</v>
      </c>
      <c r="N35" s="22">
        <f>SUM(N28:N34)</f>
        <v>965</v>
      </c>
      <c r="O35" s="22">
        <f>SUM(O28:O34)</f>
        <v>13890</v>
      </c>
      <c r="P35" s="22">
        <f>SUM(P28:P34)</f>
        <v>8932.7999999999993</v>
      </c>
      <c r="Q35" s="22">
        <f t="shared" si="44"/>
        <v>1248</v>
      </c>
      <c r="R35" s="22">
        <f t="shared" si="44"/>
        <v>17472</v>
      </c>
      <c r="S35" s="22">
        <f t="shared" si="44"/>
        <v>11182.08</v>
      </c>
      <c r="T35" s="22">
        <f t="shared" si="44"/>
        <v>1624</v>
      </c>
      <c r="U35" s="22">
        <f t="shared" si="44"/>
        <v>22736</v>
      </c>
      <c r="V35" s="22">
        <f t="shared" si="44"/>
        <v>14551.04</v>
      </c>
      <c r="W35" s="22">
        <f t="shared" si="44"/>
        <v>1170</v>
      </c>
      <c r="X35" s="22">
        <f t="shared" si="44"/>
        <v>16280</v>
      </c>
      <c r="Y35" s="22">
        <f t="shared" si="44"/>
        <v>10635.2</v>
      </c>
      <c r="Z35" s="22">
        <f>SUM(Z28:Z34)</f>
        <v>995</v>
      </c>
      <c r="AA35" s="22">
        <f>SUM(AA28:AA34)</f>
        <v>13930</v>
      </c>
      <c r="AB35" s="22">
        <f>SUM(AB28:AB34)</f>
        <v>8915.2000000000007</v>
      </c>
      <c r="AC35" s="22">
        <f t="shared" si="44"/>
        <v>1153</v>
      </c>
      <c r="AD35" s="22">
        <f t="shared" si="44"/>
        <v>16142</v>
      </c>
      <c r="AE35" s="22">
        <f t="shared" si="44"/>
        <v>10330.880000000001</v>
      </c>
      <c r="AF35" s="22">
        <f>SUM(AF28:AF34)</f>
        <v>1406</v>
      </c>
      <c r="AG35" s="22">
        <f t="shared" ref="AG35:AH35" si="45">SUM(AG28:AG34)</f>
        <v>20144</v>
      </c>
      <c r="AH35" s="22">
        <f t="shared" si="45"/>
        <v>13626.56</v>
      </c>
      <c r="AI35" s="22">
        <f t="shared" si="44"/>
        <v>1410</v>
      </c>
      <c r="AJ35" s="22">
        <f t="shared" si="44"/>
        <v>19950</v>
      </c>
      <c r="AK35" s="22">
        <f t="shared" si="44"/>
        <v>13178.4</v>
      </c>
      <c r="AL35" s="22">
        <f t="shared" si="44"/>
        <v>1489</v>
      </c>
      <c r="AM35" s="22">
        <f t="shared" si="44"/>
        <v>20996</v>
      </c>
      <c r="AN35" s="22">
        <f t="shared" si="44"/>
        <v>13761.44</v>
      </c>
      <c r="AO35" s="22">
        <f t="shared" ref="AO35:AQ35" si="46">SUM(AO28:AO33)</f>
        <v>0</v>
      </c>
      <c r="AP35" s="22">
        <f t="shared" si="46"/>
        <v>0</v>
      </c>
      <c r="AQ35" s="22">
        <f t="shared" si="46"/>
        <v>0</v>
      </c>
    </row>
    <row r="36" spans="1:43" ht="24" customHeight="1" x14ac:dyDescent="0.5">
      <c r="A36" s="39"/>
      <c r="B36" s="30"/>
      <c r="C36" s="30"/>
      <c r="D36" s="30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</row>
    <row r="37" spans="1:43" ht="25.15" customHeight="1" x14ac:dyDescent="0.5">
      <c r="A37" s="39">
        <v>1</v>
      </c>
      <c r="B37" s="30" t="s">
        <v>6</v>
      </c>
      <c r="C37" s="1">
        <v>0.7</v>
      </c>
      <c r="D37" s="1" t="s">
        <v>96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>
        <f>X37*C37</f>
        <v>0</v>
      </c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</row>
    <row r="38" spans="1:43" ht="25.15" customHeight="1" x14ac:dyDescent="0.5">
      <c r="A38" s="39">
        <v>2</v>
      </c>
      <c r="B38" s="30" t="s">
        <v>5</v>
      </c>
      <c r="C38" s="1">
        <v>0.35</v>
      </c>
      <c r="D38" s="1" t="s">
        <v>98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>
        <f t="shared" ref="Y38:Y45" si="47">X38*C38</f>
        <v>0</v>
      </c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</row>
    <row r="39" spans="1:43" ht="25.15" customHeight="1" x14ac:dyDescent="0.5">
      <c r="A39" s="39">
        <v>3</v>
      </c>
      <c r="B39" s="30" t="s">
        <v>4</v>
      </c>
      <c r="C39" s="1">
        <v>0.17499999999999999</v>
      </c>
      <c r="D39" s="1" t="s">
        <v>100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>
        <f t="shared" si="47"/>
        <v>0</v>
      </c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</row>
    <row r="40" spans="1:43" ht="25.15" customHeight="1" x14ac:dyDescent="0.5">
      <c r="A40" s="39">
        <v>4</v>
      </c>
      <c r="B40" s="30" t="s">
        <v>3</v>
      </c>
      <c r="C40" s="1">
        <v>0.7</v>
      </c>
      <c r="D40" s="1" t="s">
        <v>96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>
        <f t="shared" si="47"/>
        <v>0</v>
      </c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</row>
    <row r="41" spans="1:43" ht="25.15" customHeight="1" x14ac:dyDescent="0.5">
      <c r="A41" s="39">
        <v>5</v>
      </c>
      <c r="B41" s="30" t="s">
        <v>2</v>
      </c>
      <c r="C41" s="1">
        <v>0.35</v>
      </c>
      <c r="D41" s="1" t="s">
        <v>98</v>
      </c>
      <c r="E41" s="29"/>
      <c r="F41" s="29"/>
      <c r="G41" s="29">
        <f>F41*C41</f>
        <v>0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>
        <f t="shared" si="47"/>
        <v>0</v>
      </c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</row>
    <row r="42" spans="1:43" ht="25.15" customHeight="1" x14ac:dyDescent="0.5">
      <c r="A42" s="39">
        <v>6</v>
      </c>
      <c r="B42" s="30" t="s">
        <v>1</v>
      </c>
      <c r="C42" s="1">
        <v>0.17499999999999999</v>
      </c>
      <c r="D42" s="1" t="s">
        <v>100</v>
      </c>
      <c r="E42" s="29"/>
      <c r="F42" s="29"/>
      <c r="G42" s="29">
        <f t="shared" ref="G42:G44" si="48">F42*C42</f>
        <v>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>
        <f t="shared" si="47"/>
        <v>0</v>
      </c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</row>
    <row r="43" spans="1:43" ht="25.15" customHeight="1" x14ac:dyDescent="0.5">
      <c r="A43" s="39">
        <v>7</v>
      </c>
      <c r="B43" s="30" t="s">
        <v>0</v>
      </c>
      <c r="C43" s="1">
        <v>0.7</v>
      </c>
      <c r="D43" s="1" t="s">
        <v>96</v>
      </c>
      <c r="E43" s="29"/>
      <c r="F43" s="29"/>
      <c r="G43" s="29">
        <f t="shared" si="48"/>
        <v>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>
        <f t="shared" si="47"/>
        <v>0</v>
      </c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ht="25.15" customHeight="1" x14ac:dyDescent="0.5">
      <c r="A44" s="39">
        <v>8</v>
      </c>
      <c r="B44" s="30" t="s">
        <v>8</v>
      </c>
      <c r="C44" s="1">
        <v>0.7</v>
      </c>
      <c r="D44" s="1" t="s">
        <v>96</v>
      </c>
      <c r="E44" s="29"/>
      <c r="F44" s="29"/>
      <c r="G44" s="29">
        <f t="shared" si="48"/>
        <v>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>
        <f t="shared" si="47"/>
        <v>0</v>
      </c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</row>
    <row r="45" spans="1:43" ht="25.15" customHeight="1" x14ac:dyDescent="0.5">
      <c r="A45" s="39">
        <v>9</v>
      </c>
      <c r="B45" s="30" t="s">
        <v>7</v>
      </c>
      <c r="C45" s="1">
        <v>0.35</v>
      </c>
      <c r="D45" s="1" t="s">
        <v>98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>
        <f t="shared" si="47"/>
        <v>0</v>
      </c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</row>
    <row r="46" spans="1:43" ht="25.15" customHeight="1" x14ac:dyDescent="0.5">
      <c r="A46" s="46"/>
      <c r="B46" s="239" t="s">
        <v>10</v>
      </c>
      <c r="C46" s="240"/>
      <c r="D46" s="241"/>
      <c r="E46" s="22">
        <f t="shared" ref="E46:AN46" si="49">SUM(E37:E45)</f>
        <v>0</v>
      </c>
      <c r="F46" s="22">
        <f t="shared" si="49"/>
        <v>0</v>
      </c>
      <c r="G46" s="22">
        <f>SUM(G37:G45)</f>
        <v>0</v>
      </c>
      <c r="H46" s="22">
        <f t="shared" si="49"/>
        <v>0</v>
      </c>
      <c r="I46" s="22">
        <f t="shared" si="49"/>
        <v>0</v>
      </c>
      <c r="J46" s="22">
        <f t="shared" si="49"/>
        <v>0</v>
      </c>
      <c r="K46" s="22">
        <f t="shared" si="49"/>
        <v>0</v>
      </c>
      <c r="L46" s="22">
        <f t="shared" si="49"/>
        <v>0</v>
      </c>
      <c r="M46" s="22">
        <f t="shared" si="49"/>
        <v>0</v>
      </c>
      <c r="N46" s="22">
        <f t="shared" si="49"/>
        <v>0</v>
      </c>
      <c r="O46" s="22">
        <f t="shared" si="49"/>
        <v>0</v>
      </c>
      <c r="P46" s="22">
        <f t="shared" si="49"/>
        <v>0</v>
      </c>
      <c r="Q46" s="22">
        <f t="shared" si="49"/>
        <v>0</v>
      </c>
      <c r="R46" s="22">
        <f t="shared" si="49"/>
        <v>0</v>
      </c>
      <c r="S46" s="22">
        <f t="shared" si="49"/>
        <v>0</v>
      </c>
      <c r="T46" s="22">
        <f t="shared" si="49"/>
        <v>0</v>
      </c>
      <c r="U46" s="22">
        <f t="shared" si="49"/>
        <v>0</v>
      </c>
      <c r="V46" s="22">
        <f t="shared" si="49"/>
        <v>0</v>
      </c>
      <c r="W46" s="22">
        <f t="shared" si="49"/>
        <v>0</v>
      </c>
      <c r="X46" s="22">
        <f t="shared" si="49"/>
        <v>0</v>
      </c>
      <c r="Y46" s="22">
        <f t="shared" si="49"/>
        <v>0</v>
      </c>
      <c r="Z46" s="22">
        <f t="shared" si="49"/>
        <v>0</v>
      </c>
      <c r="AA46" s="22">
        <f t="shared" si="49"/>
        <v>0</v>
      </c>
      <c r="AB46" s="22">
        <f t="shared" si="49"/>
        <v>0</v>
      </c>
      <c r="AC46" s="22">
        <f t="shared" si="49"/>
        <v>0</v>
      </c>
      <c r="AD46" s="22">
        <f t="shared" si="49"/>
        <v>0</v>
      </c>
      <c r="AE46" s="22">
        <f t="shared" si="49"/>
        <v>0</v>
      </c>
      <c r="AF46" s="22">
        <f t="shared" si="49"/>
        <v>0</v>
      </c>
      <c r="AG46" s="22">
        <f t="shared" si="49"/>
        <v>0</v>
      </c>
      <c r="AH46" s="22">
        <f t="shared" si="49"/>
        <v>0</v>
      </c>
      <c r="AI46" s="22">
        <f t="shared" si="49"/>
        <v>0</v>
      </c>
      <c r="AJ46" s="22">
        <f t="shared" si="49"/>
        <v>0</v>
      </c>
      <c r="AK46" s="22">
        <f t="shared" si="49"/>
        <v>0</v>
      </c>
      <c r="AL46" s="22">
        <f t="shared" si="49"/>
        <v>0</v>
      </c>
      <c r="AM46" s="22">
        <f t="shared" si="49"/>
        <v>0</v>
      </c>
      <c r="AN46" s="22">
        <f t="shared" si="49"/>
        <v>0</v>
      </c>
      <c r="AO46" s="22">
        <f t="shared" ref="AO46:AQ46" si="50">SUM(AO37:AO45)</f>
        <v>0</v>
      </c>
      <c r="AP46" s="22">
        <f t="shared" si="50"/>
        <v>0</v>
      </c>
      <c r="AQ46" s="22">
        <f t="shared" si="50"/>
        <v>0</v>
      </c>
    </row>
    <row r="47" spans="1:43" s="44" customFormat="1" ht="25.15" customHeight="1" x14ac:dyDescent="0.5">
      <c r="A47" s="45"/>
      <c r="B47" s="242" t="s">
        <v>49</v>
      </c>
      <c r="C47" s="243"/>
      <c r="D47" s="244"/>
      <c r="E47" s="38">
        <f t="shared" ref="E47:F47" si="51">E35+E46</f>
        <v>1200.1428571428571</v>
      </c>
      <c r="F47" s="38">
        <f t="shared" si="51"/>
        <v>18000</v>
      </c>
      <c r="G47" s="38">
        <f>G35+G46</f>
        <v>11520</v>
      </c>
      <c r="H47" s="38">
        <f t="shared" ref="H47" si="52">H35+H46</f>
        <v>1105</v>
      </c>
      <c r="I47" s="38"/>
      <c r="J47" s="37">
        <f t="shared" ref="J47:K47" si="53">J35+J46</f>
        <v>10116.799999999999</v>
      </c>
      <c r="K47" s="38">
        <f t="shared" si="53"/>
        <v>1723</v>
      </c>
      <c r="L47" s="38"/>
      <c r="M47" s="37">
        <f t="shared" ref="M47:N47" si="54">M35+M46</f>
        <v>16425.280000000002</v>
      </c>
      <c r="N47" s="38">
        <f t="shared" si="54"/>
        <v>965</v>
      </c>
      <c r="O47" s="38"/>
      <c r="P47" s="37">
        <f t="shared" ref="P47:R47" si="55">P35+P46</f>
        <v>8932.7999999999993</v>
      </c>
      <c r="Q47" s="38">
        <f t="shared" si="55"/>
        <v>1248</v>
      </c>
      <c r="R47" s="38">
        <f t="shared" si="55"/>
        <v>17472</v>
      </c>
      <c r="S47" s="37">
        <f t="shared" ref="S47:U47" si="56">S35+S46</f>
        <v>11182.08</v>
      </c>
      <c r="T47" s="38">
        <f t="shared" si="56"/>
        <v>1624</v>
      </c>
      <c r="U47" s="38">
        <f t="shared" si="56"/>
        <v>22736</v>
      </c>
      <c r="V47" s="37">
        <f t="shared" ref="V47:X47" si="57">V35+V46</f>
        <v>14551.04</v>
      </c>
      <c r="W47" s="38">
        <f t="shared" si="57"/>
        <v>1170</v>
      </c>
      <c r="X47" s="38">
        <f t="shared" si="57"/>
        <v>16280</v>
      </c>
      <c r="Y47" s="37">
        <f t="shared" ref="Y47:Z47" si="58">Y35+Y46</f>
        <v>10635.2</v>
      </c>
      <c r="Z47" s="38">
        <f t="shared" si="58"/>
        <v>995</v>
      </c>
      <c r="AA47" s="38"/>
      <c r="AB47" s="37">
        <f t="shared" ref="AB47:AC47" si="59">AB35+AB46</f>
        <v>8915.2000000000007</v>
      </c>
      <c r="AC47" s="38">
        <f t="shared" si="59"/>
        <v>1153</v>
      </c>
      <c r="AD47" s="38"/>
      <c r="AE47" s="37">
        <f t="shared" ref="AE47:AF47" si="60">AE35+AE46</f>
        <v>10330.880000000001</v>
      </c>
      <c r="AF47" s="38">
        <f t="shared" si="60"/>
        <v>1406</v>
      </c>
      <c r="AG47" s="38"/>
      <c r="AH47" s="37">
        <f t="shared" ref="AH47:AI47" si="61">AH35+AH46</f>
        <v>13626.56</v>
      </c>
      <c r="AI47" s="38">
        <f t="shared" si="61"/>
        <v>1410</v>
      </c>
      <c r="AJ47" s="38"/>
      <c r="AK47" s="37">
        <f t="shared" ref="AK47:AL47" si="62">AK35+AK46</f>
        <v>13178.4</v>
      </c>
      <c r="AL47" s="38">
        <f t="shared" si="62"/>
        <v>1489</v>
      </c>
      <c r="AM47" s="38"/>
      <c r="AN47" s="37">
        <f t="shared" ref="AN47:AO47" si="63">AN35+AN46</f>
        <v>13761.44</v>
      </c>
      <c r="AO47" s="38">
        <f t="shared" si="63"/>
        <v>0</v>
      </c>
      <c r="AP47" s="38"/>
      <c r="AQ47" s="37">
        <f t="shared" ref="AQ47" si="64">AQ35+AQ46</f>
        <v>0</v>
      </c>
    </row>
    <row r="49" spans="1:43" x14ac:dyDescent="0.5">
      <c r="F49" s="53"/>
      <c r="G49" s="53"/>
    </row>
    <row r="50" spans="1:43" ht="25.15" customHeight="1" x14ac:dyDescent="0.5">
      <c r="B50" s="41" t="s">
        <v>157</v>
      </c>
    </row>
    <row r="51" spans="1:43" ht="15" customHeight="1" x14ac:dyDescent="0.5"/>
    <row r="52" spans="1:43" ht="42.75" customHeight="1" x14ac:dyDescent="0.5">
      <c r="A52" s="245" t="s">
        <v>52</v>
      </c>
      <c r="B52" s="245" t="s">
        <v>51</v>
      </c>
      <c r="C52" s="247" t="s">
        <v>117</v>
      </c>
      <c r="D52" s="247" t="s">
        <v>95</v>
      </c>
      <c r="E52" s="236" t="s">
        <v>113</v>
      </c>
      <c r="F52" s="237"/>
      <c r="G52" s="238"/>
      <c r="H52" s="236" t="s">
        <v>58</v>
      </c>
      <c r="I52" s="237"/>
      <c r="J52" s="238"/>
      <c r="K52" s="236" t="s">
        <v>59</v>
      </c>
      <c r="L52" s="237"/>
      <c r="M52" s="238"/>
      <c r="N52" s="236" t="s">
        <v>60</v>
      </c>
      <c r="O52" s="237"/>
      <c r="P52" s="238"/>
      <c r="Q52" s="236" t="s">
        <v>61</v>
      </c>
      <c r="R52" s="237"/>
      <c r="S52" s="238"/>
      <c r="T52" s="236" t="s">
        <v>62</v>
      </c>
      <c r="U52" s="237"/>
      <c r="V52" s="238"/>
      <c r="W52" s="236" t="s">
        <v>63</v>
      </c>
      <c r="X52" s="237"/>
      <c r="Y52" s="238"/>
      <c r="Z52" s="236" t="s">
        <v>64</v>
      </c>
      <c r="AA52" s="237"/>
      <c r="AB52" s="238"/>
      <c r="AC52" s="236" t="s">
        <v>65</v>
      </c>
      <c r="AD52" s="237"/>
      <c r="AE52" s="238"/>
      <c r="AF52" s="236" t="s">
        <v>18</v>
      </c>
      <c r="AG52" s="237"/>
      <c r="AH52" s="238"/>
      <c r="AI52" s="236" t="s">
        <v>17</v>
      </c>
      <c r="AJ52" s="237"/>
      <c r="AK52" s="238"/>
      <c r="AL52" s="236" t="s">
        <v>16</v>
      </c>
      <c r="AM52" s="237"/>
      <c r="AN52" s="238"/>
      <c r="AO52" s="236" t="s">
        <v>10</v>
      </c>
      <c r="AP52" s="237"/>
      <c r="AQ52" s="238"/>
    </row>
    <row r="53" spans="1:43" ht="25.15" customHeight="1" x14ac:dyDescent="0.5">
      <c r="A53" s="246"/>
      <c r="B53" s="246"/>
      <c r="C53" s="248"/>
      <c r="D53" s="248"/>
      <c r="E53" s="40" t="s">
        <v>50</v>
      </c>
      <c r="F53" s="40" t="s">
        <v>56</v>
      </c>
      <c r="G53" s="40" t="s">
        <v>93</v>
      </c>
      <c r="H53" s="40" t="s">
        <v>50</v>
      </c>
      <c r="I53" s="40" t="s">
        <v>56</v>
      </c>
      <c r="J53" s="40" t="s">
        <v>57</v>
      </c>
      <c r="K53" s="40" t="s">
        <v>50</v>
      </c>
      <c r="L53" s="40" t="s">
        <v>56</v>
      </c>
      <c r="M53" s="40" t="s">
        <v>57</v>
      </c>
      <c r="N53" s="40" t="s">
        <v>50</v>
      </c>
      <c r="O53" s="40" t="s">
        <v>56</v>
      </c>
      <c r="P53" s="40" t="s">
        <v>57</v>
      </c>
      <c r="Q53" s="40" t="s">
        <v>50</v>
      </c>
      <c r="R53" s="40" t="s">
        <v>56</v>
      </c>
      <c r="S53" s="40" t="s">
        <v>57</v>
      </c>
      <c r="T53" s="40" t="s">
        <v>50</v>
      </c>
      <c r="U53" s="40" t="s">
        <v>56</v>
      </c>
      <c r="V53" s="40" t="s">
        <v>57</v>
      </c>
      <c r="W53" s="40" t="s">
        <v>50</v>
      </c>
      <c r="X53" s="40" t="s">
        <v>56</v>
      </c>
      <c r="Y53" s="40" t="s">
        <v>57</v>
      </c>
      <c r="Z53" s="40" t="s">
        <v>50</v>
      </c>
      <c r="AA53" s="40" t="s">
        <v>56</v>
      </c>
      <c r="AB53" s="40" t="s">
        <v>57</v>
      </c>
      <c r="AC53" s="40" t="s">
        <v>50</v>
      </c>
      <c r="AD53" s="40" t="s">
        <v>56</v>
      </c>
      <c r="AE53" s="40" t="s">
        <v>57</v>
      </c>
      <c r="AF53" s="40" t="s">
        <v>50</v>
      </c>
      <c r="AG53" s="40" t="s">
        <v>56</v>
      </c>
      <c r="AH53" s="40" t="s">
        <v>57</v>
      </c>
      <c r="AI53" s="40" t="s">
        <v>50</v>
      </c>
      <c r="AJ53" s="40" t="s">
        <v>56</v>
      </c>
      <c r="AK53" s="40" t="s">
        <v>57</v>
      </c>
      <c r="AL53" s="40" t="s">
        <v>50</v>
      </c>
      <c r="AM53" s="40" t="s">
        <v>56</v>
      </c>
      <c r="AN53" s="40" t="s">
        <v>57</v>
      </c>
      <c r="AO53" s="40" t="s">
        <v>50</v>
      </c>
      <c r="AP53" s="40" t="s">
        <v>56</v>
      </c>
      <c r="AQ53" s="40" t="s">
        <v>57</v>
      </c>
    </row>
    <row r="54" spans="1:43" ht="20.100000000000001" customHeight="1" x14ac:dyDescent="0.5">
      <c r="A54" s="28">
        <v>1</v>
      </c>
      <c r="B54" s="1" t="s">
        <v>150</v>
      </c>
      <c r="C54" s="30">
        <v>0.64</v>
      </c>
      <c r="D54" s="30" t="s">
        <v>99</v>
      </c>
      <c r="E54" s="28"/>
      <c r="F54" s="28"/>
      <c r="G54" s="29"/>
      <c r="H54" s="28">
        <v>100</v>
      </c>
      <c r="I54" s="28">
        <v>1200</v>
      </c>
      <c r="J54" s="28">
        <v>1200</v>
      </c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ht="20.100000000000001" customHeight="1" x14ac:dyDescent="0.5">
      <c r="A55" s="28">
        <v>2</v>
      </c>
      <c r="B55" s="1" t="s">
        <v>88</v>
      </c>
      <c r="C55" s="30">
        <v>0.64</v>
      </c>
      <c r="D55" s="30" t="s">
        <v>98</v>
      </c>
      <c r="E55" s="28">
        <v>40</v>
      </c>
      <c r="F55" s="28">
        <v>560</v>
      </c>
      <c r="G55" s="29">
        <v>358.40000000000003</v>
      </c>
      <c r="H55" s="28">
        <v>3</v>
      </c>
      <c r="I55" s="28">
        <v>42</v>
      </c>
      <c r="J55" s="28">
        <v>26.88</v>
      </c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</row>
    <row r="56" spans="1:43" ht="20.100000000000001" customHeight="1" x14ac:dyDescent="0.5">
      <c r="A56" s="28">
        <v>3</v>
      </c>
      <c r="B56" s="1" t="s">
        <v>9</v>
      </c>
      <c r="C56" s="30">
        <v>0.64</v>
      </c>
      <c r="D56" s="30" t="s">
        <v>99</v>
      </c>
      <c r="E56" s="28"/>
      <c r="F56" s="28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</row>
    <row r="57" spans="1:43" ht="20.100000000000001" customHeight="1" x14ac:dyDescent="0.5">
      <c r="A57" s="28">
        <v>4</v>
      </c>
      <c r="B57" s="1" t="s">
        <v>83</v>
      </c>
      <c r="C57" s="30">
        <v>1</v>
      </c>
      <c r="D57" s="30" t="s">
        <v>96</v>
      </c>
      <c r="E57" s="28">
        <v>70</v>
      </c>
      <c r="F57" s="28">
        <v>840</v>
      </c>
      <c r="G57" s="29">
        <v>840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</row>
    <row r="58" spans="1:43" ht="20.100000000000001" customHeight="1" x14ac:dyDescent="0.5">
      <c r="A58" s="28">
        <v>5</v>
      </c>
      <c r="B58" s="1" t="s">
        <v>9</v>
      </c>
      <c r="C58" s="30">
        <v>0.64</v>
      </c>
      <c r="D58" s="30" t="s">
        <v>119</v>
      </c>
      <c r="E58" s="28">
        <v>1136</v>
      </c>
      <c r="F58" s="28">
        <v>15904</v>
      </c>
      <c r="G58" s="29">
        <v>10178.56</v>
      </c>
      <c r="H58" s="28">
        <v>895</v>
      </c>
      <c r="I58" s="28">
        <v>12530</v>
      </c>
      <c r="J58" s="28">
        <v>8019.2000000000016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</row>
    <row r="59" spans="1:43" ht="20.100000000000001" customHeight="1" x14ac:dyDescent="0.5">
      <c r="A59" s="28">
        <v>6</v>
      </c>
      <c r="B59" s="1" t="s">
        <v>75</v>
      </c>
      <c r="C59" s="30">
        <v>1</v>
      </c>
      <c r="D59" s="30" t="s">
        <v>96</v>
      </c>
      <c r="E59" s="28">
        <v>2</v>
      </c>
      <c r="F59" s="28">
        <v>24</v>
      </c>
      <c r="G59" s="29">
        <v>24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</row>
    <row r="60" spans="1:43" ht="20.100000000000001" customHeight="1" x14ac:dyDescent="0.5">
      <c r="A60" s="28">
        <v>7</v>
      </c>
      <c r="B60" s="30" t="s">
        <v>92</v>
      </c>
      <c r="C60" s="30">
        <v>0.64</v>
      </c>
      <c r="D60" s="30" t="s">
        <v>98</v>
      </c>
      <c r="E60" s="28"/>
      <c r="F60" s="28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</row>
    <row r="61" spans="1:43" ht="20.100000000000001" customHeight="1" x14ac:dyDescent="0.5">
      <c r="A61" s="28">
        <v>8</v>
      </c>
      <c r="B61" s="30" t="s">
        <v>75</v>
      </c>
      <c r="C61" s="30">
        <v>1</v>
      </c>
      <c r="D61" s="30" t="s">
        <v>135</v>
      </c>
      <c r="E61" s="57"/>
      <c r="F61" s="57"/>
      <c r="G61" s="84"/>
      <c r="H61" s="57">
        <v>3</v>
      </c>
      <c r="I61" s="57">
        <v>36</v>
      </c>
      <c r="J61" s="57">
        <v>36</v>
      </c>
      <c r="K61" s="57"/>
      <c r="L61" s="57"/>
      <c r="M61" s="57"/>
      <c r="N61" s="57"/>
      <c r="O61" s="57"/>
      <c r="P61" s="28"/>
      <c r="Q61" s="57"/>
      <c r="R61" s="57"/>
      <c r="S61" s="28"/>
      <c r="T61" s="57"/>
      <c r="U61" s="57"/>
      <c r="V61" s="28"/>
      <c r="W61" s="57"/>
      <c r="X61" s="57"/>
      <c r="Y61" s="28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</row>
    <row r="62" spans="1:43" ht="20.100000000000001" customHeight="1" x14ac:dyDescent="0.5">
      <c r="A62" s="28">
        <v>9</v>
      </c>
      <c r="B62" s="30" t="s">
        <v>74</v>
      </c>
      <c r="C62" s="30">
        <v>1</v>
      </c>
      <c r="D62" s="30" t="s">
        <v>135</v>
      </c>
      <c r="E62" s="57"/>
      <c r="F62" s="57"/>
      <c r="G62" s="84"/>
      <c r="H62" s="57">
        <v>2</v>
      </c>
      <c r="I62" s="57">
        <v>24</v>
      </c>
      <c r="J62" s="57">
        <v>24</v>
      </c>
      <c r="K62" s="57"/>
      <c r="L62" s="57"/>
      <c r="M62" s="57"/>
      <c r="N62" s="57"/>
      <c r="O62" s="57"/>
      <c r="P62" s="28"/>
      <c r="Q62" s="57"/>
      <c r="R62" s="57"/>
      <c r="S62" s="28"/>
      <c r="T62" s="57"/>
      <c r="U62" s="57"/>
      <c r="V62" s="28"/>
      <c r="W62" s="57"/>
      <c r="X62" s="57"/>
      <c r="Y62" s="28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</row>
    <row r="63" spans="1:43" ht="20.100000000000001" customHeight="1" x14ac:dyDescent="0.5">
      <c r="A63" s="28">
        <v>10</v>
      </c>
      <c r="B63" s="30" t="s">
        <v>90</v>
      </c>
      <c r="C63" s="30">
        <v>1</v>
      </c>
      <c r="D63" s="30" t="s">
        <v>96</v>
      </c>
      <c r="E63" s="57"/>
      <c r="F63" s="57"/>
      <c r="G63" s="84"/>
      <c r="H63" s="57">
        <v>1</v>
      </c>
      <c r="I63" s="57">
        <v>12</v>
      </c>
      <c r="J63" s="57">
        <v>12</v>
      </c>
      <c r="K63" s="57"/>
      <c r="L63" s="57"/>
      <c r="M63" s="57"/>
      <c r="N63" s="57"/>
      <c r="O63" s="57"/>
      <c r="P63" s="28"/>
      <c r="Q63" s="57"/>
      <c r="R63" s="57"/>
      <c r="S63" s="28"/>
      <c r="T63" s="57"/>
      <c r="U63" s="57"/>
      <c r="V63" s="28"/>
      <c r="W63" s="57"/>
      <c r="X63" s="57"/>
      <c r="Y63" s="28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</row>
    <row r="64" spans="1:43" ht="20.100000000000001" customHeight="1" x14ac:dyDescent="0.5">
      <c r="A64" s="28">
        <v>11</v>
      </c>
      <c r="B64" s="30" t="s">
        <v>69</v>
      </c>
      <c r="C64" s="30">
        <v>1</v>
      </c>
      <c r="D64" s="30" t="s">
        <v>96</v>
      </c>
      <c r="E64" s="57"/>
      <c r="F64" s="57"/>
      <c r="G64" s="84"/>
      <c r="H64" s="57">
        <v>19</v>
      </c>
      <c r="I64" s="57">
        <v>228</v>
      </c>
      <c r="J64" s="57">
        <v>228</v>
      </c>
      <c r="K64" s="57"/>
      <c r="L64" s="57"/>
      <c r="M64" s="57"/>
      <c r="N64" s="57"/>
      <c r="O64" s="57"/>
      <c r="P64" s="28"/>
      <c r="Q64" s="57"/>
      <c r="R64" s="57"/>
      <c r="S64" s="28"/>
      <c r="T64" s="57"/>
      <c r="U64" s="57"/>
      <c r="V64" s="28"/>
      <c r="W64" s="57"/>
      <c r="X64" s="57"/>
      <c r="Y64" s="28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</row>
    <row r="65" spans="1:43" s="41" customFormat="1" ht="20.100000000000001" customHeight="1" x14ac:dyDescent="0.5">
      <c r="A65" s="24"/>
      <c r="B65" s="239" t="s">
        <v>10</v>
      </c>
      <c r="C65" s="240"/>
      <c r="D65" s="241"/>
      <c r="E65" s="22">
        <f>SUM(E54:E64)</f>
        <v>1248</v>
      </c>
      <c r="F65" s="22">
        <f t="shared" ref="F65:G65" si="65">SUM(F54:F64)</f>
        <v>17328</v>
      </c>
      <c r="G65" s="22">
        <f t="shared" si="65"/>
        <v>11400.96</v>
      </c>
      <c r="H65" s="22">
        <f>SUM(H54:H64)</f>
        <v>1023</v>
      </c>
      <c r="I65" s="22">
        <f t="shared" ref="I65:J65" si="66">SUM(I54:I64)</f>
        <v>14072</v>
      </c>
      <c r="J65" s="22">
        <f t="shared" si="66"/>
        <v>9546.0800000000017</v>
      </c>
      <c r="K65" s="22">
        <f>SUM(K54:K60)</f>
        <v>0</v>
      </c>
      <c r="L65" s="22">
        <f t="shared" ref="L65:M65" si="67">SUM(L54:L60)</f>
        <v>0</v>
      </c>
      <c r="M65" s="22">
        <f t="shared" si="67"/>
        <v>0</v>
      </c>
      <c r="N65" s="22">
        <f>SUM(N54:N64)</f>
        <v>0</v>
      </c>
      <c r="O65" s="22">
        <f>SUM(O54:O64)</f>
        <v>0</v>
      </c>
      <c r="P65" s="22">
        <f>SUM(P54:P64)</f>
        <v>0</v>
      </c>
      <c r="Q65" s="22">
        <f t="shared" ref="Q65:Y65" si="68">SUM(Q54:Q60)</f>
        <v>0</v>
      </c>
      <c r="R65" s="22">
        <f t="shared" si="68"/>
        <v>0</v>
      </c>
      <c r="S65" s="22">
        <f t="shared" si="68"/>
        <v>0</v>
      </c>
      <c r="T65" s="22">
        <f t="shared" si="68"/>
        <v>0</v>
      </c>
      <c r="U65" s="22">
        <f t="shared" si="68"/>
        <v>0</v>
      </c>
      <c r="V65" s="22">
        <f t="shared" si="68"/>
        <v>0</v>
      </c>
      <c r="W65" s="22">
        <f t="shared" si="68"/>
        <v>0</v>
      </c>
      <c r="X65" s="22">
        <f t="shared" si="68"/>
        <v>0</v>
      </c>
      <c r="Y65" s="22">
        <f t="shared" si="68"/>
        <v>0</v>
      </c>
      <c r="Z65" s="22">
        <f>SUM(Z54:Z64)</f>
        <v>0</v>
      </c>
      <c r="AA65" s="22">
        <f>SUM(AA54:AA64)</f>
        <v>0</v>
      </c>
      <c r="AB65" s="22">
        <f>SUM(AB54:AB64)</f>
        <v>0</v>
      </c>
      <c r="AC65" s="22">
        <f t="shared" ref="AC65:AE65" si="69">SUM(AC54:AC60)</f>
        <v>0</v>
      </c>
      <c r="AD65" s="22">
        <f t="shared" si="69"/>
        <v>0</v>
      </c>
      <c r="AE65" s="22">
        <f t="shared" si="69"/>
        <v>0</v>
      </c>
      <c r="AF65" s="22">
        <f>SUM(AF54:AF64)</f>
        <v>0</v>
      </c>
      <c r="AG65" s="22">
        <f t="shared" ref="AG65:AH65" si="70">SUM(AG54:AG64)</f>
        <v>0</v>
      </c>
      <c r="AH65" s="22">
        <f t="shared" si="70"/>
        <v>0</v>
      </c>
      <c r="AI65" s="22">
        <f t="shared" ref="AI65:AQ65" si="71">SUM(AI54:AI60)</f>
        <v>0</v>
      </c>
      <c r="AJ65" s="22">
        <f t="shared" si="71"/>
        <v>0</v>
      </c>
      <c r="AK65" s="22">
        <f t="shared" si="71"/>
        <v>0</v>
      </c>
      <c r="AL65" s="22">
        <f t="shared" si="71"/>
        <v>0</v>
      </c>
      <c r="AM65" s="22">
        <f t="shared" si="71"/>
        <v>0</v>
      </c>
      <c r="AN65" s="22">
        <f t="shared" si="71"/>
        <v>0</v>
      </c>
      <c r="AO65" s="22">
        <f t="shared" si="71"/>
        <v>0</v>
      </c>
      <c r="AP65" s="22">
        <f t="shared" si="71"/>
        <v>0</v>
      </c>
      <c r="AQ65" s="22">
        <f t="shared" si="71"/>
        <v>0</v>
      </c>
    </row>
    <row r="66" spans="1:43" ht="24" customHeight="1" x14ac:dyDescent="0.5">
      <c r="A66" s="39"/>
      <c r="B66" s="30"/>
      <c r="C66" s="30"/>
      <c r="D66" s="30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</row>
    <row r="67" spans="1:43" ht="25.15" customHeight="1" x14ac:dyDescent="0.5">
      <c r="A67" s="39">
        <v>1</v>
      </c>
      <c r="B67" s="30" t="s">
        <v>6</v>
      </c>
      <c r="C67" s="1">
        <v>0.7</v>
      </c>
      <c r="D67" s="1" t="s">
        <v>96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>
        <f>X67*C67</f>
        <v>0</v>
      </c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</row>
    <row r="68" spans="1:43" ht="25.15" customHeight="1" x14ac:dyDescent="0.5">
      <c r="A68" s="39">
        <v>2</v>
      </c>
      <c r="B68" s="30" t="s">
        <v>5</v>
      </c>
      <c r="C68" s="1">
        <v>0.35</v>
      </c>
      <c r="D68" s="1" t="s">
        <v>98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>
        <f t="shared" ref="Y68:Y75" si="72">X68*C68</f>
        <v>0</v>
      </c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</row>
    <row r="69" spans="1:43" ht="25.15" customHeight="1" x14ac:dyDescent="0.5">
      <c r="A69" s="39">
        <v>3</v>
      </c>
      <c r="B69" s="30" t="s">
        <v>4</v>
      </c>
      <c r="C69" s="1">
        <v>0.17499999999999999</v>
      </c>
      <c r="D69" s="1" t="s">
        <v>100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>
        <f t="shared" si="72"/>
        <v>0</v>
      </c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</row>
    <row r="70" spans="1:43" ht="25.15" customHeight="1" x14ac:dyDescent="0.5">
      <c r="A70" s="39">
        <v>4</v>
      </c>
      <c r="B70" s="30" t="s">
        <v>3</v>
      </c>
      <c r="C70" s="1">
        <v>0.7</v>
      </c>
      <c r="D70" s="1" t="s">
        <v>96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>
        <f t="shared" si="72"/>
        <v>0</v>
      </c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</row>
    <row r="71" spans="1:43" ht="25.15" customHeight="1" x14ac:dyDescent="0.5">
      <c r="A71" s="39">
        <v>5</v>
      </c>
      <c r="B71" s="30" t="s">
        <v>2</v>
      </c>
      <c r="C71" s="1">
        <v>0.35</v>
      </c>
      <c r="D71" s="1" t="s">
        <v>98</v>
      </c>
      <c r="E71" s="29"/>
      <c r="F71" s="29"/>
      <c r="G71" s="29">
        <f>F71*C71</f>
        <v>0</v>
      </c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>
        <f t="shared" si="72"/>
        <v>0</v>
      </c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</row>
    <row r="72" spans="1:43" ht="25.15" customHeight="1" x14ac:dyDescent="0.5">
      <c r="A72" s="39">
        <v>6</v>
      </c>
      <c r="B72" s="30" t="s">
        <v>1</v>
      </c>
      <c r="C72" s="1">
        <v>0.17499999999999999</v>
      </c>
      <c r="D72" s="1" t="s">
        <v>100</v>
      </c>
      <c r="E72" s="29"/>
      <c r="F72" s="29"/>
      <c r="G72" s="29">
        <f t="shared" ref="G72:G74" si="73">F72*C72</f>
        <v>0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>
        <f t="shared" si="72"/>
        <v>0</v>
      </c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ht="25.15" customHeight="1" x14ac:dyDescent="0.5">
      <c r="A73" s="39">
        <v>7</v>
      </c>
      <c r="B73" s="30" t="s">
        <v>0</v>
      </c>
      <c r="C73" s="1">
        <v>0.7</v>
      </c>
      <c r="D73" s="1" t="s">
        <v>96</v>
      </c>
      <c r="E73" s="29"/>
      <c r="F73" s="29"/>
      <c r="G73" s="29">
        <f t="shared" si="73"/>
        <v>0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>
        <f t="shared" si="72"/>
        <v>0</v>
      </c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ht="25.15" customHeight="1" x14ac:dyDescent="0.5">
      <c r="A74" s="39">
        <v>8</v>
      </c>
      <c r="B74" s="30" t="s">
        <v>8</v>
      </c>
      <c r="C74" s="1">
        <v>0.7</v>
      </c>
      <c r="D74" s="1" t="s">
        <v>96</v>
      </c>
      <c r="E74" s="29"/>
      <c r="F74" s="29"/>
      <c r="G74" s="29">
        <f t="shared" si="73"/>
        <v>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>
        <f t="shared" si="72"/>
        <v>0</v>
      </c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ht="25.15" customHeight="1" x14ac:dyDescent="0.5">
      <c r="A75" s="39">
        <v>9</v>
      </c>
      <c r="B75" s="30" t="s">
        <v>7</v>
      </c>
      <c r="C75" s="1">
        <v>0.35</v>
      </c>
      <c r="D75" s="1" t="s">
        <v>98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>
        <f t="shared" si="72"/>
        <v>0</v>
      </c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ht="25.15" customHeight="1" x14ac:dyDescent="0.5">
      <c r="A76" s="46"/>
      <c r="B76" s="239" t="s">
        <v>10</v>
      </c>
      <c r="C76" s="240"/>
      <c r="D76" s="241"/>
      <c r="E76" s="22">
        <f t="shared" ref="E76:F76" si="74">SUM(E67:E75)</f>
        <v>0</v>
      </c>
      <c r="F76" s="22">
        <f t="shared" si="74"/>
        <v>0</v>
      </c>
      <c r="G76" s="22">
        <f>SUM(G67:G75)</f>
        <v>0</v>
      </c>
      <c r="H76" s="22">
        <f t="shared" ref="H76:AQ76" si="75">SUM(H67:H75)</f>
        <v>0</v>
      </c>
      <c r="I76" s="22">
        <f t="shared" si="75"/>
        <v>0</v>
      </c>
      <c r="J76" s="22">
        <f t="shared" si="75"/>
        <v>0</v>
      </c>
      <c r="K76" s="22">
        <f t="shared" si="75"/>
        <v>0</v>
      </c>
      <c r="L76" s="22">
        <f t="shared" si="75"/>
        <v>0</v>
      </c>
      <c r="M76" s="22">
        <f t="shared" si="75"/>
        <v>0</v>
      </c>
      <c r="N76" s="22">
        <f t="shared" si="75"/>
        <v>0</v>
      </c>
      <c r="O76" s="22">
        <f t="shared" si="75"/>
        <v>0</v>
      </c>
      <c r="P76" s="22">
        <f t="shared" si="75"/>
        <v>0</v>
      </c>
      <c r="Q76" s="22">
        <f t="shared" si="75"/>
        <v>0</v>
      </c>
      <c r="R76" s="22">
        <f t="shared" si="75"/>
        <v>0</v>
      </c>
      <c r="S76" s="22">
        <f t="shared" si="75"/>
        <v>0</v>
      </c>
      <c r="T76" s="22">
        <f t="shared" si="75"/>
        <v>0</v>
      </c>
      <c r="U76" s="22">
        <f t="shared" si="75"/>
        <v>0</v>
      </c>
      <c r="V76" s="22">
        <f t="shared" si="75"/>
        <v>0</v>
      </c>
      <c r="W76" s="22">
        <f t="shared" si="75"/>
        <v>0</v>
      </c>
      <c r="X76" s="22">
        <f t="shared" si="75"/>
        <v>0</v>
      </c>
      <c r="Y76" s="22">
        <f t="shared" si="75"/>
        <v>0</v>
      </c>
      <c r="Z76" s="22">
        <f t="shared" si="75"/>
        <v>0</v>
      </c>
      <c r="AA76" s="22">
        <f t="shared" si="75"/>
        <v>0</v>
      </c>
      <c r="AB76" s="22">
        <f t="shared" si="75"/>
        <v>0</v>
      </c>
      <c r="AC76" s="22">
        <f t="shared" si="75"/>
        <v>0</v>
      </c>
      <c r="AD76" s="22">
        <f t="shared" si="75"/>
        <v>0</v>
      </c>
      <c r="AE76" s="22">
        <f t="shared" si="75"/>
        <v>0</v>
      </c>
      <c r="AF76" s="22">
        <f t="shared" si="75"/>
        <v>0</v>
      </c>
      <c r="AG76" s="22">
        <f t="shared" si="75"/>
        <v>0</v>
      </c>
      <c r="AH76" s="22">
        <f t="shared" si="75"/>
        <v>0</v>
      </c>
      <c r="AI76" s="22">
        <f t="shared" si="75"/>
        <v>0</v>
      </c>
      <c r="AJ76" s="22">
        <f t="shared" si="75"/>
        <v>0</v>
      </c>
      <c r="AK76" s="22">
        <f t="shared" si="75"/>
        <v>0</v>
      </c>
      <c r="AL76" s="22">
        <f t="shared" si="75"/>
        <v>0</v>
      </c>
      <c r="AM76" s="22">
        <f t="shared" si="75"/>
        <v>0</v>
      </c>
      <c r="AN76" s="22">
        <f t="shared" si="75"/>
        <v>0</v>
      </c>
      <c r="AO76" s="22">
        <f t="shared" si="75"/>
        <v>0</v>
      </c>
      <c r="AP76" s="22">
        <f t="shared" si="75"/>
        <v>0</v>
      </c>
      <c r="AQ76" s="22">
        <f t="shared" si="75"/>
        <v>0</v>
      </c>
    </row>
    <row r="77" spans="1:43" s="44" customFormat="1" ht="25.15" customHeight="1" x14ac:dyDescent="0.5">
      <c r="A77" s="45"/>
      <c r="B77" s="242" t="s">
        <v>49</v>
      </c>
      <c r="C77" s="243"/>
      <c r="D77" s="244"/>
      <c r="E77" s="38">
        <f t="shared" ref="E77:F77" si="76">E65+E76</f>
        <v>1248</v>
      </c>
      <c r="F77" s="38">
        <f t="shared" si="76"/>
        <v>17328</v>
      </c>
      <c r="G77" s="38">
        <f>G65+G76</f>
        <v>11400.96</v>
      </c>
      <c r="H77" s="38">
        <f t="shared" ref="H77" si="77">H65+H76</f>
        <v>1023</v>
      </c>
      <c r="I77" s="38"/>
      <c r="J77" s="37">
        <f t="shared" ref="J77:K77" si="78">J65+J76</f>
        <v>9546.0800000000017</v>
      </c>
      <c r="K77" s="38">
        <f t="shared" si="78"/>
        <v>0</v>
      </c>
      <c r="L77" s="38"/>
      <c r="M77" s="37">
        <f t="shared" ref="M77:N77" si="79">M65+M76</f>
        <v>0</v>
      </c>
      <c r="N77" s="38">
        <f t="shared" si="79"/>
        <v>0</v>
      </c>
      <c r="O77" s="38"/>
      <c r="P77" s="37">
        <f t="shared" ref="P77:Z77" si="80">P65+P76</f>
        <v>0</v>
      </c>
      <c r="Q77" s="38">
        <f t="shared" si="80"/>
        <v>0</v>
      </c>
      <c r="R77" s="38">
        <f t="shared" si="80"/>
        <v>0</v>
      </c>
      <c r="S77" s="37">
        <f t="shared" si="80"/>
        <v>0</v>
      </c>
      <c r="T77" s="38">
        <f t="shared" si="80"/>
        <v>0</v>
      </c>
      <c r="U77" s="38">
        <f t="shared" si="80"/>
        <v>0</v>
      </c>
      <c r="V77" s="37">
        <f t="shared" si="80"/>
        <v>0</v>
      </c>
      <c r="W77" s="38">
        <f t="shared" si="80"/>
        <v>0</v>
      </c>
      <c r="X77" s="38">
        <f t="shared" si="80"/>
        <v>0</v>
      </c>
      <c r="Y77" s="37">
        <f t="shared" si="80"/>
        <v>0</v>
      </c>
      <c r="Z77" s="38">
        <f t="shared" si="80"/>
        <v>0</v>
      </c>
      <c r="AA77" s="38"/>
      <c r="AB77" s="37">
        <f t="shared" ref="AB77:AC77" si="81">AB65+AB76</f>
        <v>0</v>
      </c>
      <c r="AC77" s="38">
        <f t="shared" si="81"/>
        <v>0</v>
      </c>
      <c r="AD77" s="38"/>
      <c r="AE77" s="37">
        <f t="shared" ref="AE77:AF77" si="82">AE65+AE76</f>
        <v>0</v>
      </c>
      <c r="AF77" s="38">
        <f t="shared" si="82"/>
        <v>0</v>
      </c>
      <c r="AG77" s="38"/>
      <c r="AH77" s="37">
        <f t="shared" ref="AH77:AI77" si="83">AH65+AH76</f>
        <v>0</v>
      </c>
      <c r="AI77" s="38">
        <f t="shared" si="83"/>
        <v>0</v>
      </c>
      <c r="AJ77" s="38"/>
      <c r="AK77" s="37">
        <f t="shared" ref="AK77:AL77" si="84">AK65+AK76</f>
        <v>0</v>
      </c>
      <c r="AL77" s="38">
        <f t="shared" si="84"/>
        <v>0</v>
      </c>
      <c r="AM77" s="38"/>
      <c r="AN77" s="37">
        <f t="shared" ref="AN77:AO77" si="85">AN65+AN76</f>
        <v>0</v>
      </c>
      <c r="AO77" s="38">
        <f t="shared" si="85"/>
        <v>0</v>
      </c>
      <c r="AP77" s="38"/>
      <c r="AQ77" s="37">
        <f t="shared" ref="AQ77" si="86">AQ65+AQ76</f>
        <v>0</v>
      </c>
    </row>
  </sheetData>
  <mergeCells count="60">
    <mergeCell ref="AO26:AQ26"/>
    <mergeCell ref="AL3:AN3"/>
    <mergeCell ref="B8:D8"/>
    <mergeCell ref="B19:D19"/>
    <mergeCell ref="B20:D20"/>
    <mergeCell ref="AO3:AQ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A3:A4"/>
    <mergeCell ref="B3:B4"/>
    <mergeCell ref="C3:C4"/>
    <mergeCell ref="D3:D4"/>
    <mergeCell ref="E3:G3"/>
    <mergeCell ref="Q26:S26"/>
    <mergeCell ref="B46:D46"/>
    <mergeCell ref="AF26:AH26"/>
    <mergeCell ref="AI26:AK26"/>
    <mergeCell ref="AL26:AN26"/>
    <mergeCell ref="E26:G26"/>
    <mergeCell ref="H26:J26"/>
    <mergeCell ref="K26:M26"/>
    <mergeCell ref="N26:P26"/>
    <mergeCell ref="T26:V26"/>
    <mergeCell ref="W26:Y26"/>
    <mergeCell ref="Z26:AB26"/>
    <mergeCell ref="AC26:AE26"/>
    <mergeCell ref="B35:D35"/>
    <mergeCell ref="B47:D47"/>
    <mergeCell ref="A26:A27"/>
    <mergeCell ref="B26:B27"/>
    <mergeCell ref="C26:C27"/>
    <mergeCell ref="D26:D27"/>
    <mergeCell ref="A52:A53"/>
    <mergeCell ref="B52:B53"/>
    <mergeCell ref="C52:C53"/>
    <mergeCell ref="D52:D53"/>
    <mergeCell ref="E52:G52"/>
    <mergeCell ref="AL52:AN52"/>
    <mergeCell ref="AO52:AQ52"/>
    <mergeCell ref="B65:D65"/>
    <mergeCell ref="B76:D76"/>
    <mergeCell ref="B77:D77"/>
    <mergeCell ref="W52:Y52"/>
    <mergeCell ref="Z52:AB52"/>
    <mergeCell ref="AC52:AE52"/>
    <mergeCell ref="AF52:AH52"/>
    <mergeCell ref="AI52:AK52"/>
    <mergeCell ref="H52:J52"/>
    <mergeCell ref="K52:M52"/>
    <mergeCell ref="N52:P52"/>
    <mergeCell ref="Q52:S52"/>
    <mergeCell ref="T52:V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A7B0-87FD-4B2F-9F3F-EF884F83F04F}">
  <sheetPr>
    <tabColor rgb="FFFF0000"/>
  </sheetPr>
  <dimension ref="A1:AQ87"/>
  <sheetViews>
    <sheetView workbookViewId="0">
      <pane xSplit="3" ySplit="4" topLeftCell="D34" activePane="bottomRight" state="frozen"/>
      <selection pane="topRight" activeCell="D1" sqref="D1"/>
      <selection pane="bottomLeft" activeCell="A5" sqref="A5"/>
      <selection pane="bottomRight" activeCell="B62" sqref="B62:B63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8.140625" style="42" customWidth="1"/>
    <col min="6" max="6" width="9.28515625" style="42" customWidth="1"/>
    <col min="7" max="7" width="9" style="42" customWidth="1"/>
    <col min="8" max="8" width="8.140625" style="42" customWidth="1"/>
    <col min="9" max="9" width="9.28515625" style="42" customWidth="1"/>
    <col min="10" max="11" width="8.42578125" style="42" bestFit="1" customWidth="1"/>
    <col min="12" max="12" width="9.28515625" style="42" bestFit="1" customWidth="1"/>
    <col min="13" max="13" width="9" style="42" bestFit="1" customWidth="1"/>
    <col min="14" max="14" width="8.42578125" style="42" bestFit="1" customWidth="1"/>
    <col min="15" max="16" width="9.28515625" style="42" bestFit="1" customWidth="1"/>
    <col min="17" max="17" width="8.140625" style="42" bestFit="1" customWidth="1"/>
    <col min="18" max="19" width="9" style="42" bestFit="1" customWidth="1"/>
    <col min="20" max="20" width="8.42578125" style="42" bestFit="1" customWidth="1"/>
    <col min="21" max="22" width="9.28515625" style="42" bestFit="1" customWidth="1"/>
    <col min="23" max="23" width="8.140625" style="42" bestFit="1" customWidth="1"/>
    <col min="24" max="25" width="9" style="42" bestFit="1" customWidth="1"/>
    <col min="26" max="26" width="8.42578125" style="42" bestFit="1" customWidth="1"/>
    <col min="27" max="28" width="9.28515625" style="42" bestFit="1" customWidth="1"/>
    <col min="29" max="29" width="7.140625" style="42" bestFit="1" customWidth="1"/>
    <col min="30" max="30" width="9" style="42" bestFit="1" customWidth="1"/>
    <col min="31" max="32" width="8.42578125" style="42" bestFit="1" customWidth="1"/>
    <col min="33" max="33" width="9.28515625" style="42" bestFit="1" customWidth="1"/>
    <col min="34" max="34" width="9" style="42" bestFit="1" customWidth="1"/>
    <col min="35" max="35" width="7.140625" style="42" bestFit="1" customWidth="1"/>
    <col min="36" max="36" width="9" style="42" bestFit="1" customWidth="1"/>
    <col min="37" max="37" width="8.42578125" style="42" bestFit="1" customWidth="1"/>
    <col min="38" max="38" width="8.140625" style="42" bestFit="1" customWidth="1"/>
    <col min="39" max="39" width="9" style="42" bestFit="1" customWidth="1"/>
    <col min="40" max="40" width="8.42578125" style="42" bestFit="1" customWidth="1"/>
    <col min="41" max="41" width="6.7109375" style="42" customWidth="1"/>
    <col min="42" max="42" width="10.140625" style="42" bestFit="1" customWidth="1"/>
    <col min="43" max="43" width="9.85546875" style="42" bestFit="1" customWidth="1"/>
    <col min="44" max="16384" width="9.7109375" style="42"/>
  </cols>
  <sheetData>
    <row r="1" spans="1:43" x14ac:dyDescent="0.5">
      <c r="B1" s="41" t="s">
        <v>136</v>
      </c>
    </row>
    <row r="3" spans="1:43" x14ac:dyDescent="0.5">
      <c r="A3" s="245" t="s">
        <v>52</v>
      </c>
      <c r="B3" s="245" t="s">
        <v>51</v>
      </c>
      <c r="C3" s="247" t="s">
        <v>117</v>
      </c>
      <c r="D3" s="247" t="s">
        <v>95</v>
      </c>
      <c r="E3" s="236" t="s">
        <v>114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5">
      <c r="A4" s="246"/>
      <c r="B4" s="246"/>
      <c r="C4" s="248"/>
      <c r="D4" s="248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5">
      <c r="A5" s="92">
        <v>1</v>
      </c>
      <c r="B5" s="125" t="s">
        <v>67</v>
      </c>
      <c r="C5" s="88">
        <v>0.7</v>
      </c>
      <c r="D5" s="88" t="s">
        <v>96</v>
      </c>
      <c r="E5" s="29">
        <v>302</v>
      </c>
      <c r="F5" s="29">
        <v>3624</v>
      </c>
      <c r="G5" s="29">
        <f>F5*C5</f>
        <v>2536.7999999999997</v>
      </c>
      <c r="H5" s="29">
        <v>230</v>
      </c>
      <c r="I5" s="29">
        <v>2760</v>
      </c>
      <c r="J5" s="29">
        <f>I5*C5</f>
        <v>1931.9999999999998</v>
      </c>
      <c r="K5" s="29">
        <v>180</v>
      </c>
      <c r="L5" s="29">
        <v>2160</v>
      </c>
      <c r="M5" s="29">
        <f>L5*C5</f>
        <v>1512</v>
      </c>
      <c r="N5" s="84">
        <v>170</v>
      </c>
      <c r="O5" s="84">
        <v>2088</v>
      </c>
      <c r="P5" s="84">
        <f>O5*C5</f>
        <v>1461.6</v>
      </c>
      <c r="Q5" s="29">
        <v>110</v>
      </c>
      <c r="R5" s="29">
        <v>1320</v>
      </c>
      <c r="S5" s="29">
        <f>R5*C5</f>
        <v>923.99999999999989</v>
      </c>
      <c r="T5" s="29">
        <v>220</v>
      </c>
      <c r="U5" s="29">
        <v>2640</v>
      </c>
      <c r="V5" s="29">
        <f>U5*C5</f>
        <v>1847.9999999999998</v>
      </c>
      <c r="W5" s="29">
        <v>200</v>
      </c>
      <c r="X5" s="29">
        <v>2400</v>
      </c>
      <c r="Y5" s="29">
        <f>X5*C5</f>
        <v>1680</v>
      </c>
      <c r="Z5" s="29">
        <v>250</v>
      </c>
      <c r="AA5" s="29">
        <v>3000</v>
      </c>
      <c r="AB5" s="29">
        <f>AA5*C5</f>
        <v>2100</v>
      </c>
      <c r="AC5" s="29"/>
      <c r="AD5" s="29"/>
      <c r="AE5" s="29">
        <f>AD5*C5</f>
        <v>0</v>
      </c>
      <c r="AF5" s="29">
        <v>255</v>
      </c>
      <c r="AG5" s="29">
        <v>3060</v>
      </c>
      <c r="AH5" s="29">
        <f>AG5*C5</f>
        <v>2142</v>
      </c>
      <c r="AI5" s="29">
        <v>165</v>
      </c>
      <c r="AJ5" s="29">
        <v>1980</v>
      </c>
      <c r="AK5" s="29">
        <f>AJ5*C5</f>
        <v>1386</v>
      </c>
      <c r="AL5" s="29">
        <v>372</v>
      </c>
      <c r="AM5" s="29">
        <v>4464</v>
      </c>
      <c r="AN5" s="29">
        <f>AM5*C5</f>
        <v>3124.7999999999997</v>
      </c>
      <c r="AO5" s="28">
        <f>E5+H5+K5+N5+Q5+T5+W5+Z5+AC5+AF5+AI5+AL5</f>
        <v>2454</v>
      </c>
      <c r="AP5" s="28">
        <f t="shared" ref="AP5:AQ5" si="0">F5+I5+L5+O5+R5+U5+X5+AA5+AD5+AG5+AJ5+AM5</f>
        <v>29496</v>
      </c>
      <c r="AQ5" s="28">
        <f t="shared" si="0"/>
        <v>20647.2</v>
      </c>
    </row>
    <row r="6" spans="1:43" x14ac:dyDescent="0.5">
      <c r="A6" s="86">
        <v>2</v>
      </c>
      <c r="B6" s="161" t="s">
        <v>145</v>
      </c>
      <c r="C6" s="1">
        <v>0.64</v>
      </c>
      <c r="D6" s="1" t="s">
        <v>99</v>
      </c>
      <c r="E6" s="29">
        <v>355</v>
      </c>
      <c r="F6" s="29">
        <v>4970</v>
      </c>
      <c r="G6" s="29">
        <f t="shared" ref="G6:G15" si="1">F6*C6</f>
        <v>3180.8</v>
      </c>
      <c r="H6" s="29">
        <v>360</v>
      </c>
      <c r="I6" s="29">
        <v>5040</v>
      </c>
      <c r="J6" s="29">
        <f t="shared" ref="J6:J15" si="2">I6*C6</f>
        <v>3225.6</v>
      </c>
      <c r="K6" s="29">
        <v>400</v>
      </c>
      <c r="L6" s="29">
        <v>5600</v>
      </c>
      <c r="M6" s="29">
        <f t="shared" ref="M6:M15" si="3">L6*C6</f>
        <v>3584</v>
      </c>
      <c r="N6" s="29">
        <v>385</v>
      </c>
      <c r="O6" s="29">
        <v>5390</v>
      </c>
      <c r="P6" s="84">
        <f t="shared" ref="P6:P15" si="4">O6*C6</f>
        <v>3449.6</v>
      </c>
      <c r="Q6" s="29">
        <v>409</v>
      </c>
      <c r="R6" s="29">
        <v>5726</v>
      </c>
      <c r="S6" s="29">
        <f t="shared" ref="S6:S15" si="5">R6*C6</f>
        <v>3664.64</v>
      </c>
      <c r="T6" s="29">
        <v>230</v>
      </c>
      <c r="U6" s="29">
        <v>3220</v>
      </c>
      <c r="V6" s="29">
        <f t="shared" ref="V6:V15" si="6">U6*C6</f>
        <v>2060.8000000000002</v>
      </c>
      <c r="W6" s="29">
        <v>668</v>
      </c>
      <c r="X6" s="29">
        <v>9352</v>
      </c>
      <c r="Y6" s="29">
        <f t="shared" ref="Y6:Y15" si="7">X6*C6</f>
        <v>5985.28</v>
      </c>
      <c r="Z6" s="29">
        <v>550</v>
      </c>
      <c r="AA6" s="29">
        <v>7700</v>
      </c>
      <c r="AB6" s="29">
        <f t="shared" ref="AB6:AB15" si="8">AA6*C6</f>
        <v>4928</v>
      </c>
      <c r="AC6" s="29">
        <v>200</v>
      </c>
      <c r="AD6" s="29">
        <v>2800</v>
      </c>
      <c r="AE6" s="29">
        <f t="shared" ref="AE6:AE15" si="9">AD6*C6</f>
        <v>1792</v>
      </c>
      <c r="AF6" s="29">
        <v>400</v>
      </c>
      <c r="AG6" s="29">
        <v>5600</v>
      </c>
      <c r="AH6" s="29">
        <f t="shared" ref="AH6:AH15" si="10">AG6*C6</f>
        <v>3584</v>
      </c>
      <c r="AI6" s="29">
        <v>400</v>
      </c>
      <c r="AJ6" s="29">
        <v>5600</v>
      </c>
      <c r="AK6" s="29">
        <f t="shared" ref="AK6:AK15" si="11">AJ6*C6</f>
        <v>3584</v>
      </c>
      <c r="AL6" s="29">
        <v>385</v>
      </c>
      <c r="AM6" s="29">
        <v>5390</v>
      </c>
      <c r="AN6" s="29">
        <f t="shared" ref="AN6:AN15" si="12">AM6*C6</f>
        <v>3449.6</v>
      </c>
      <c r="AO6" s="28">
        <f t="shared" ref="AO6:AO10" si="13">E6+H6+K6+N6+Q6+T6+W6+Z6+AC6+AF6+AI6+AL6</f>
        <v>4742</v>
      </c>
      <c r="AP6" s="28">
        <f t="shared" ref="AP6:AP10" si="14">F6+I6+L6+O6+R6+U6+X6+AA6+AD6+AG6+AJ6+AM6</f>
        <v>66388</v>
      </c>
      <c r="AQ6" s="28">
        <f t="shared" ref="AQ6:AQ10" si="15">G6+J6+M6+P6+S6+V6+Y6+AB6+AE6+AH6+AK6+AN6</f>
        <v>42488.32</v>
      </c>
    </row>
    <row r="7" spans="1:43" x14ac:dyDescent="0.5">
      <c r="A7" s="86">
        <v>3</v>
      </c>
      <c r="B7" s="161" t="s">
        <v>88</v>
      </c>
      <c r="C7" s="30">
        <v>0.64</v>
      </c>
      <c r="D7" s="30" t="s">
        <v>99</v>
      </c>
      <c r="E7" s="29">
        <v>941</v>
      </c>
      <c r="F7" s="29">
        <v>13174</v>
      </c>
      <c r="G7" s="29">
        <f t="shared" si="1"/>
        <v>8431.36</v>
      </c>
      <c r="H7" s="29">
        <v>820</v>
      </c>
      <c r="I7" s="29">
        <v>11480</v>
      </c>
      <c r="J7" s="29">
        <f t="shared" si="2"/>
        <v>7347.2</v>
      </c>
      <c r="K7" s="29">
        <v>1032</v>
      </c>
      <c r="L7" s="29">
        <v>14448</v>
      </c>
      <c r="M7" s="29">
        <f t="shared" si="3"/>
        <v>9246.7199999999993</v>
      </c>
      <c r="N7" s="29">
        <v>1350</v>
      </c>
      <c r="O7" s="29">
        <v>18900</v>
      </c>
      <c r="P7" s="84">
        <f t="shared" si="4"/>
        <v>12096</v>
      </c>
      <c r="Q7" s="29">
        <v>600</v>
      </c>
      <c r="R7" s="29">
        <v>8400</v>
      </c>
      <c r="S7" s="29">
        <f t="shared" si="5"/>
        <v>5376</v>
      </c>
      <c r="T7" s="29">
        <v>1175</v>
      </c>
      <c r="U7" s="29">
        <v>16450</v>
      </c>
      <c r="V7" s="29">
        <f t="shared" si="6"/>
        <v>10528</v>
      </c>
      <c r="W7" s="29">
        <v>570</v>
      </c>
      <c r="X7" s="29">
        <v>7980</v>
      </c>
      <c r="Y7" s="29">
        <f t="shared" si="7"/>
        <v>5107.2</v>
      </c>
      <c r="Z7" s="29">
        <v>1156</v>
      </c>
      <c r="AA7" s="29">
        <v>16184</v>
      </c>
      <c r="AB7" s="29">
        <f t="shared" si="8"/>
        <v>10357.76</v>
      </c>
      <c r="AC7" s="29">
        <v>629</v>
      </c>
      <c r="AD7" s="29">
        <v>8806</v>
      </c>
      <c r="AE7" s="29">
        <f t="shared" si="9"/>
        <v>5635.84</v>
      </c>
      <c r="AF7" s="29">
        <v>869</v>
      </c>
      <c r="AG7" s="29">
        <v>12166</v>
      </c>
      <c r="AH7" s="29">
        <f t="shared" si="10"/>
        <v>7786.24</v>
      </c>
      <c r="AI7" s="29">
        <v>165</v>
      </c>
      <c r="AJ7" s="29">
        <v>2310</v>
      </c>
      <c r="AK7" s="29">
        <f t="shared" si="11"/>
        <v>1478.4</v>
      </c>
      <c r="AL7" s="29">
        <v>230</v>
      </c>
      <c r="AM7" s="29">
        <v>3220</v>
      </c>
      <c r="AN7" s="29">
        <f t="shared" si="12"/>
        <v>2060.8000000000002</v>
      </c>
      <c r="AO7" s="28">
        <f t="shared" si="13"/>
        <v>9537</v>
      </c>
      <c r="AP7" s="28">
        <f t="shared" si="14"/>
        <v>133518</v>
      </c>
      <c r="AQ7" s="28">
        <f t="shared" si="15"/>
        <v>85451.51999999999</v>
      </c>
    </row>
    <row r="8" spans="1:43" x14ac:dyDescent="0.5">
      <c r="A8" s="86">
        <v>4</v>
      </c>
      <c r="B8" s="161" t="s">
        <v>88</v>
      </c>
      <c r="C8" s="30">
        <v>0.64</v>
      </c>
      <c r="D8" s="30" t="s">
        <v>131</v>
      </c>
      <c r="E8" s="84">
        <v>50</v>
      </c>
      <c r="F8" s="84">
        <v>1200</v>
      </c>
      <c r="G8" s="29">
        <f t="shared" si="1"/>
        <v>768</v>
      </c>
      <c r="H8" s="84">
        <v>30</v>
      </c>
      <c r="I8" s="84">
        <v>720</v>
      </c>
      <c r="J8" s="29">
        <f t="shared" si="2"/>
        <v>460.8</v>
      </c>
      <c r="K8" s="84">
        <v>40</v>
      </c>
      <c r="L8" s="84">
        <v>960</v>
      </c>
      <c r="M8" s="29">
        <f t="shared" si="3"/>
        <v>614.4</v>
      </c>
      <c r="N8" s="29">
        <v>30</v>
      </c>
      <c r="O8" s="29">
        <v>720</v>
      </c>
      <c r="P8" s="84">
        <f t="shared" si="4"/>
        <v>460.8</v>
      </c>
      <c r="Q8" s="84">
        <v>80</v>
      </c>
      <c r="R8" s="84">
        <v>1920</v>
      </c>
      <c r="S8" s="29">
        <f t="shared" si="5"/>
        <v>1228.8</v>
      </c>
      <c r="T8" s="84"/>
      <c r="U8" s="84"/>
      <c r="V8" s="29">
        <f t="shared" si="6"/>
        <v>0</v>
      </c>
      <c r="W8" s="84">
        <v>50</v>
      </c>
      <c r="X8" s="84">
        <v>1200</v>
      </c>
      <c r="Y8" s="29">
        <f t="shared" si="7"/>
        <v>768</v>
      </c>
      <c r="Z8" s="84"/>
      <c r="AA8" s="84"/>
      <c r="AB8" s="29">
        <f t="shared" si="8"/>
        <v>0</v>
      </c>
      <c r="AC8" s="84">
        <v>90</v>
      </c>
      <c r="AD8" s="84">
        <v>2160</v>
      </c>
      <c r="AE8" s="29">
        <f t="shared" si="9"/>
        <v>1382.4</v>
      </c>
      <c r="AF8" s="84">
        <v>20</v>
      </c>
      <c r="AG8" s="84">
        <v>480</v>
      </c>
      <c r="AH8" s="29">
        <f t="shared" si="10"/>
        <v>307.2</v>
      </c>
      <c r="AI8" s="84"/>
      <c r="AJ8" s="84"/>
      <c r="AK8" s="29">
        <f t="shared" si="11"/>
        <v>0</v>
      </c>
      <c r="AL8" s="84"/>
      <c r="AM8" s="84"/>
      <c r="AN8" s="29">
        <f t="shared" si="12"/>
        <v>0</v>
      </c>
      <c r="AO8" s="28">
        <f t="shared" ref="AO8" si="16">E8+H8+K8+N8+Q8+T8+W8+Z8+AC8+AF8+AI8+AL8</f>
        <v>390</v>
      </c>
      <c r="AP8" s="28">
        <f t="shared" ref="AP8" si="17">F8+I8+L8+O8+R8+U8+X8+AA8+AD8+AG8+AJ8+AM8</f>
        <v>9360</v>
      </c>
      <c r="AQ8" s="28">
        <f t="shared" ref="AQ8" si="18">G8+J8+M8+P8+S8+V8+Y8+AB8+AE8+AH8+AK8+AN8</f>
        <v>5990.4000000000005</v>
      </c>
    </row>
    <row r="9" spans="1:43" x14ac:dyDescent="0.5">
      <c r="A9" s="86">
        <v>5</v>
      </c>
      <c r="B9" s="161" t="s">
        <v>69</v>
      </c>
      <c r="C9" s="30">
        <v>1</v>
      </c>
      <c r="D9" s="30" t="s">
        <v>96</v>
      </c>
      <c r="E9" s="84">
        <v>65</v>
      </c>
      <c r="F9" s="84">
        <v>780</v>
      </c>
      <c r="G9" s="29">
        <f t="shared" si="1"/>
        <v>780</v>
      </c>
      <c r="H9" s="84">
        <v>10</v>
      </c>
      <c r="I9" s="84">
        <v>120</v>
      </c>
      <c r="J9" s="29">
        <f t="shared" si="2"/>
        <v>120</v>
      </c>
      <c r="K9" s="84">
        <v>45</v>
      </c>
      <c r="L9" s="84">
        <v>540</v>
      </c>
      <c r="M9" s="29">
        <f t="shared" si="3"/>
        <v>540</v>
      </c>
      <c r="N9" s="29"/>
      <c r="O9" s="29"/>
      <c r="P9" s="84">
        <f t="shared" si="4"/>
        <v>0</v>
      </c>
      <c r="Q9" s="84"/>
      <c r="R9" s="84"/>
      <c r="S9" s="29">
        <f t="shared" si="5"/>
        <v>0</v>
      </c>
      <c r="T9" s="84"/>
      <c r="U9" s="84"/>
      <c r="V9" s="29">
        <f t="shared" si="6"/>
        <v>0</v>
      </c>
      <c r="W9" s="84"/>
      <c r="X9" s="84"/>
      <c r="Y9" s="29">
        <f t="shared" si="7"/>
        <v>0</v>
      </c>
      <c r="Z9" s="84"/>
      <c r="AA9" s="84"/>
      <c r="AB9" s="29">
        <f t="shared" si="8"/>
        <v>0</v>
      </c>
      <c r="AC9" s="84"/>
      <c r="AD9" s="84"/>
      <c r="AE9" s="29">
        <f t="shared" si="9"/>
        <v>0</v>
      </c>
      <c r="AF9" s="84"/>
      <c r="AG9" s="84"/>
      <c r="AH9" s="29">
        <f t="shared" si="10"/>
        <v>0</v>
      </c>
      <c r="AI9" s="84"/>
      <c r="AJ9" s="84"/>
      <c r="AK9" s="29">
        <f t="shared" si="11"/>
        <v>0</v>
      </c>
      <c r="AL9" s="84"/>
      <c r="AM9" s="84"/>
      <c r="AN9" s="29">
        <f t="shared" si="12"/>
        <v>0</v>
      </c>
      <c r="AO9" s="28">
        <f t="shared" si="13"/>
        <v>120</v>
      </c>
      <c r="AP9" s="28">
        <f t="shared" si="14"/>
        <v>1440</v>
      </c>
      <c r="AQ9" s="28">
        <f t="shared" si="15"/>
        <v>1440</v>
      </c>
    </row>
    <row r="10" spans="1:43" x14ac:dyDescent="0.5">
      <c r="A10" s="86">
        <v>6</v>
      </c>
      <c r="B10" s="161" t="s">
        <v>80</v>
      </c>
      <c r="C10" s="30">
        <v>0.64</v>
      </c>
      <c r="D10" s="1" t="s">
        <v>99</v>
      </c>
      <c r="E10" s="29">
        <v>50</v>
      </c>
      <c r="F10" s="29">
        <v>700</v>
      </c>
      <c r="G10" s="29">
        <f t="shared" si="1"/>
        <v>448</v>
      </c>
      <c r="H10" s="84"/>
      <c r="I10" s="84"/>
      <c r="J10" s="29">
        <f t="shared" si="2"/>
        <v>0</v>
      </c>
      <c r="K10" s="84"/>
      <c r="L10" s="84"/>
      <c r="M10" s="29">
        <f t="shared" si="3"/>
        <v>0</v>
      </c>
      <c r="N10" s="84"/>
      <c r="O10" s="84"/>
      <c r="P10" s="84">
        <f t="shared" si="4"/>
        <v>0</v>
      </c>
      <c r="Q10" s="84">
        <v>50</v>
      </c>
      <c r="R10" s="84">
        <v>700</v>
      </c>
      <c r="S10" s="29">
        <f t="shared" si="5"/>
        <v>448</v>
      </c>
      <c r="T10" s="84"/>
      <c r="U10" s="84"/>
      <c r="V10" s="29">
        <f t="shared" si="6"/>
        <v>0</v>
      </c>
      <c r="W10" s="84">
        <v>50</v>
      </c>
      <c r="X10" s="84">
        <v>700</v>
      </c>
      <c r="Y10" s="29">
        <f t="shared" si="7"/>
        <v>448</v>
      </c>
      <c r="Z10" s="84">
        <v>50</v>
      </c>
      <c r="AA10" s="84">
        <v>700</v>
      </c>
      <c r="AB10" s="29">
        <f t="shared" si="8"/>
        <v>448</v>
      </c>
      <c r="AC10" s="84"/>
      <c r="AD10" s="84"/>
      <c r="AE10" s="29">
        <f t="shared" si="9"/>
        <v>0</v>
      </c>
      <c r="AF10" s="84">
        <v>50</v>
      </c>
      <c r="AG10" s="84">
        <v>700</v>
      </c>
      <c r="AH10" s="29">
        <f t="shared" si="10"/>
        <v>448</v>
      </c>
      <c r="AI10" s="84">
        <v>100</v>
      </c>
      <c r="AJ10" s="84">
        <v>1400</v>
      </c>
      <c r="AK10" s="29">
        <f t="shared" si="11"/>
        <v>896</v>
      </c>
      <c r="AL10" s="84"/>
      <c r="AM10" s="84"/>
      <c r="AN10" s="29">
        <f t="shared" si="12"/>
        <v>0</v>
      </c>
      <c r="AO10" s="28">
        <f t="shared" si="13"/>
        <v>350</v>
      </c>
      <c r="AP10" s="28">
        <f t="shared" si="14"/>
        <v>4900</v>
      </c>
      <c r="AQ10" s="28">
        <f t="shared" si="15"/>
        <v>3136</v>
      </c>
    </row>
    <row r="11" spans="1:43" x14ac:dyDescent="0.5">
      <c r="A11" s="86">
        <v>7</v>
      </c>
      <c r="B11" s="161" t="s">
        <v>91</v>
      </c>
      <c r="C11" s="30">
        <v>0.64</v>
      </c>
      <c r="D11" s="1" t="s">
        <v>99</v>
      </c>
      <c r="E11" s="29"/>
      <c r="F11" s="29"/>
      <c r="G11" s="29">
        <f t="shared" si="1"/>
        <v>0</v>
      </c>
      <c r="H11" s="84">
        <v>5</v>
      </c>
      <c r="I11" s="84">
        <v>70</v>
      </c>
      <c r="J11" s="29">
        <f t="shared" si="2"/>
        <v>44.800000000000004</v>
      </c>
      <c r="K11" s="84"/>
      <c r="L11" s="84"/>
      <c r="M11" s="29">
        <f t="shared" si="3"/>
        <v>0</v>
      </c>
      <c r="N11" s="84">
        <v>5</v>
      </c>
      <c r="O11" s="84">
        <v>70</v>
      </c>
      <c r="P11" s="84">
        <f t="shared" si="4"/>
        <v>44.800000000000004</v>
      </c>
      <c r="Q11" s="84"/>
      <c r="R11" s="84"/>
      <c r="S11" s="29">
        <f t="shared" si="5"/>
        <v>0</v>
      </c>
      <c r="T11" s="84"/>
      <c r="U11" s="84"/>
      <c r="V11" s="29">
        <f t="shared" si="6"/>
        <v>0</v>
      </c>
      <c r="W11" s="84">
        <v>5</v>
      </c>
      <c r="X11" s="84">
        <v>70</v>
      </c>
      <c r="Y11" s="29">
        <f t="shared" si="7"/>
        <v>44.800000000000004</v>
      </c>
      <c r="Z11" s="84"/>
      <c r="AA11" s="84"/>
      <c r="AB11" s="29">
        <f t="shared" si="8"/>
        <v>0</v>
      </c>
      <c r="AC11" s="84"/>
      <c r="AD11" s="84"/>
      <c r="AE11" s="29">
        <f t="shared" si="9"/>
        <v>0</v>
      </c>
      <c r="AF11" s="84"/>
      <c r="AG11" s="84"/>
      <c r="AH11" s="29">
        <f t="shared" si="10"/>
        <v>0</v>
      </c>
      <c r="AI11" s="84"/>
      <c r="AJ11" s="84"/>
      <c r="AK11" s="29">
        <f t="shared" si="11"/>
        <v>0</v>
      </c>
      <c r="AL11" s="84"/>
      <c r="AM11" s="84"/>
      <c r="AN11" s="29">
        <f t="shared" si="12"/>
        <v>0</v>
      </c>
      <c r="AO11" s="28">
        <f t="shared" ref="AO11" si="19">E11+H11+K11+N11+Q11+T11+W11+Z11+AC11+AF11+AI11+AL11</f>
        <v>15</v>
      </c>
      <c r="AP11" s="28">
        <f t="shared" ref="AP11" si="20">F11+I11+L11+O11+R11+U11+X11+AA11+AD11+AG11+AJ11+AM11</f>
        <v>210</v>
      </c>
      <c r="AQ11" s="28">
        <f t="shared" ref="AQ11" si="21">G11+J11+M11+P11+S11+V11+Y11+AB11+AE11+AH11+AK11+AN11</f>
        <v>134.4</v>
      </c>
    </row>
    <row r="12" spans="1:43" x14ac:dyDescent="0.5">
      <c r="A12" s="86">
        <v>8</v>
      </c>
      <c r="B12" s="1" t="s">
        <v>90</v>
      </c>
      <c r="C12" s="30">
        <v>1</v>
      </c>
      <c r="D12" s="1" t="s">
        <v>96</v>
      </c>
      <c r="E12" s="29"/>
      <c r="F12" s="29"/>
      <c r="G12" s="29">
        <f t="shared" si="1"/>
        <v>0</v>
      </c>
      <c r="H12" s="84"/>
      <c r="I12" s="84"/>
      <c r="J12" s="29"/>
      <c r="K12" s="84"/>
      <c r="L12" s="84"/>
      <c r="M12" s="29">
        <f t="shared" si="3"/>
        <v>0</v>
      </c>
      <c r="N12" s="84"/>
      <c r="O12" s="84"/>
      <c r="P12" s="84">
        <f t="shared" si="4"/>
        <v>0</v>
      </c>
      <c r="Q12" s="84"/>
      <c r="R12" s="84"/>
      <c r="S12" s="29">
        <f t="shared" si="5"/>
        <v>0</v>
      </c>
      <c r="T12" s="84"/>
      <c r="U12" s="84"/>
      <c r="V12" s="29">
        <f t="shared" si="6"/>
        <v>0</v>
      </c>
      <c r="W12" s="84"/>
      <c r="X12" s="84"/>
      <c r="Y12" s="29">
        <f t="shared" si="7"/>
        <v>0</v>
      </c>
      <c r="Z12" s="84"/>
      <c r="AA12" s="84"/>
      <c r="AB12" s="29">
        <f t="shared" si="8"/>
        <v>0</v>
      </c>
      <c r="AC12" s="84"/>
      <c r="AD12" s="84"/>
      <c r="AE12" s="29">
        <f t="shared" si="9"/>
        <v>0</v>
      </c>
      <c r="AF12" s="84"/>
      <c r="AG12" s="84"/>
      <c r="AH12" s="29">
        <f t="shared" si="10"/>
        <v>0</v>
      </c>
      <c r="AI12" s="84"/>
      <c r="AJ12" s="84"/>
      <c r="AK12" s="29">
        <f t="shared" si="11"/>
        <v>0</v>
      </c>
      <c r="AL12" s="84"/>
      <c r="AM12" s="84"/>
      <c r="AN12" s="29">
        <f t="shared" si="12"/>
        <v>0</v>
      </c>
      <c r="AO12" s="28">
        <f t="shared" ref="AO12" si="22">E12+H12+K12+N12+Q12+T12+W12+Z12+AC12+AF12+AI12+AL12</f>
        <v>0</v>
      </c>
      <c r="AP12" s="28">
        <f t="shared" ref="AP12" si="23">F12+I12+L12+O12+R12+U12+X12+AA12+AD12+AG12+AJ12+AM12</f>
        <v>0</v>
      </c>
      <c r="AQ12" s="28">
        <f t="shared" ref="AQ12" si="24">G12+J12+M12+P12+S12+V12+Y12+AB12+AE12+AH12+AK12+AN12</f>
        <v>0</v>
      </c>
    </row>
    <row r="13" spans="1:43" x14ac:dyDescent="0.5">
      <c r="A13" s="86">
        <v>9</v>
      </c>
      <c r="B13" s="1" t="s">
        <v>92</v>
      </c>
      <c r="C13" s="30">
        <v>0.64</v>
      </c>
      <c r="D13" s="1" t="s">
        <v>99</v>
      </c>
      <c r="E13" s="29">
        <v>43</v>
      </c>
      <c r="F13" s="29">
        <v>1032</v>
      </c>
      <c r="G13" s="29">
        <f t="shared" si="1"/>
        <v>660.48</v>
      </c>
      <c r="H13" s="84">
        <v>50</v>
      </c>
      <c r="I13" s="84">
        <v>1200</v>
      </c>
      <c r="J13" s="29">
        <f t="shared" si="2"/>
        <v>768</v>
      </c>
      <c r="K13" s="84"/>
      <c r="L13" s="84"/>
      <c r="M13" s="29">
        <f t="shared" si="3"/>
        <v>0</v>
      </c>
      <c r="N13" s="84">
        <v>35</v>
      </c>
      <c r="O13" s="84">
        <v>840</v>
      </c>
      <c r="P13" s="84">
        <f t="shared" si="4"/>
        <v>537.6</v>
      </c>
      <c r="Q13" s="84">
        <v>50</v>
      </c>
      <c r="R13" s="84">
        <v>1200</v>
      </c>
      <c r="S13" s="29">
        <f t="shared" si="5"/>
        <v>768</v>
      </c>
      <c r="T13" s="84">
        <v>45</v>
      </c>
      <c r="U13" s="84">
        <v>1080</v>
      </c>
      <c r="V13" s="29">
        <f t="shared" si="6"/>
        <v>691.2</v>
      </c>
      <c r="W13" s="84">
        <v>80</v>
      </c>
      <c r="X13" s="84">
        <v>1920</v>
      </c>
      <c r="Y13" s="29">
        <f t="shared" si="7"/>
        <v>1228.8</v>
      </c>
      <c r="Z13" s="84"/>
      <c r="AA13" s="84"/>
      <c r="AB13" s="29">
        <f t="shared" si="8"/>
        <v>0</v>
      </c>
      <c r="AC13" s="84"/>
      <c r="AD13" s="84"/>
      <c r="AE13" s="29">
        <f t="shared" si="9"/>
        <v>0</v>
      </c>
      <c r="AF13" s="84">
        <v>20</v>
      </c>
      <c r="AG13" s="84">
        <v>480</v>
      </c>
      <c r="AH13" s="29">
        <f t="shared" si="10"/>
        <v>307.2</v>
      </c>
      <c r="AI13" s="84">
        <v>50</v>
      </c>
      <c r="AJ13" s="84">
        <v>1200</v>
      </c>
      <c r="AK13" s="29">
        <f t="shared" si="11"/>
        <v>768</v>
      </c>
      <c r="AL13" s="84"/>
      <c r="AM13" s="84"/>
      <c r="AN13" s="29">
        <f t="shared" si="12"/>
        <v>0</v>
      </c>
      <c r="AO13" s="28">
        <f t="shared" ref="AO13:AO14" si="25">E13+H13+K13+N13+Q13+T13+W13+Z13+AC13+AF13+AI13+AL13</f>
        <v>373</v>
      </c>
      <c r="AP13" s="28">
        <f t="shared" ref="AP13:AP14" si="26">F13+I13+L13+O13+R13+U13+X13+AA13+AD13+AG13+AJ13+AM13</f>
        <v>8952</v>
      </c>
      <c r="AQ13" s="28">
        <f t="shared" ref="AQ13:AQ14" si="27">G13+J13+M13+P13+S13+V13+Y13+AB13+AE13+AH13+AK13+AN13</f>
        <v>5729.28</v>
      </c>
    </row>
    <row r="14" spans="1:43" x14ac:dyDescent="0.5">
      <c r="A14" s="86">
        <v>10</v>
      </c>
      <c r="B14" s="1" t="s">
        <v>83</v>
      </c>
      <c r="C14" s="30">
        <v>1</v>
      </c>
      <c r="D14" s="1" t="s">
        <v>96</v>
      </c>
      <c r="E14" s="29">
        <v>25</v>
      </c>
      <c r="F14" s="29">
        <v>300</v>
      </c>
      <c r="G14" s="29">
        <f t="shared" si="1"/>
        <v>300</v>
      </c>
      <c r="H14" s="84">
        <v>15</v>
      </c>
      <c r="I14" s="84">
        <v>180</v>
      </c>
      <c r="J14" s="29">
        <f t="shared" si="2"/>
        <v>180</v>
      </c>
      <c r="K14" s="84">
        <v>20</v>
      </c>
      <c r="L14" s="84">
        <v>240</v>
      </c>
      <c r="M14" s="29">
        <f t="shared" si="3"/>
        <v>240</v>
      </c>
      <c r="N14" s="84">
        <v>55</v>
      </c>
      <c r="O14" s="84">
        <v>660</v>
      </c>
      <c r="P14" s="84">
        <f t="shared" si="4"/>
        <v>660</v>
      </c>
      <c r="Q14" s="84">
        <v>40</v>
      </c>
      <c r="R14" s="84">
        <v>480</v>
      </c>
      <c r="S14" s="29">
        <f t="shared" si="5"/>
        <v>480</v>
      </c>
      <c r="T14" s="84">
        <v>20</v>
      </c>
      <c r="U14" s="84">
        <v>240</v>
      </c>
      <c r="V14" s="29">
        <f t="shared" si="6"/>
        <v>240</v>
      </c>
      <c r="W14" s="84"/>
      <c r="X14" s="84"/>
      <c r="Y14" s="29">
        <f t="shared" si="7"/>
        <v>0</v>
      </c>
      <c r="Z14" s="84">
        <v>21</v>
      </c>
      <c r="AA14" s="84">
        <v>252</v>
      </c>
      <c r="AB14" s="29">
        <f t="shared" si="8"/>
        <v>252</v>
      </c>
      <c r="AC14" s="84">
        <v>60</v>
      </c>
      <c r="AD14" s="84">
        <v>720</v>
      </c>
      <c r="AE14" s="29">
        <f t="shared" si="9"/>
        <v>720</v>
      </c>
      <c r="AF14" s="84">
        <v>50</v>
      </c>
      <c r="AG14" s="84">
        <v>600</v>
      </c>
      <c r="AH14" s="29">
        <f t="shared" si="10"/>
        <v>600</v>
      </c>
      <c r="AI14" s="84"/>
      <c r="AJ14" s="84"/>
      <c r="AK14" s="29">
        <f t="shared" si="11"/>
        <v>0</v>
      </c>
      <c r="AL14" s="84">
        <v>20</v>
      </c>
      <c r="AM14" s="84">
        <v>240</v>
      </c>
      <c r="AN14" s="29">
        <f t="shared" si="12"/>
        <v>240</v>
      </c>
      <c r="AO14" s="28">
        <f t="shared" si="25"/>
        <v>326</v>
      </c>
      <c r="AP14" s="28">
        <f t="shared" si="26"/>
        <v>3912</v>
      </c>
      <c r="AQ14" s="28">
        <f t="shared" si="27"/>
        <v>3912</v>
      </c>
    </row>
    <row r="15" spans="1:43" x14ac:dyDescent="0.5">
      <c r="A15" s="86">
        <v>11</v>
      </c>
      <c r="B15" s="30" t="s">
        <v>9</v>
      </c>
      <c r="C15" s="1">
        <v>0.64</v>
      </c>
      <c r="D15" s="30" t="s">
        <v>130</v>
      </c>
      <c r="E15" s="84">
        <v>5</v>
      </c>
      <c r="F15" s="84">
        <v>70</v>
      </c>
      <c r="G15" s="29">
        <f t="shared" si="1"/>
        <v>44.800000000000004</v>
      </c>
      <c r="H15" s="84"/>
      <c r="I15" s="84"/>
      <c r="J15" s="29">
        <f t="shared" si="2"/>
        <v>0</v>
      </c>
      <c r="K15" s="84"/>
      <c r="L15" s="84"/>
      <c r="M15" s="29">
        <f t="shared" si="3"/>
        <v>0</v>
      </c>
      <c r="N15" s="84">
        <v>15</v>
      </c>
      <c r="O15" s="84">
        <v>210</v>
      </c>
      <c r="P15" s="84">
        <f t="shared" si="4"/>
        <v>134.4</v>
      </c>
      <c r="Q15" s="84"/>
      <c r="R15" s="84"/>
      <c r="S15" s="29">
        <f t="shared" si="5"/>
        <v>0</v>
      </c>
      <c r="T15" s="84"/>
      <c r="U15" s="84"/>
      <c r="V15" s="29">
        <f t="shared" si="6"/>
        <v>0</v>
      </c>
      <c r="W15" s="84"/>
      <c r="X15" s="84"/>
      <c r="Y15" s="29">
        <f t="shared" si="7"/>
        <v>0</v>
      </c>
      <c r="Z15" s="84"/>
      <c r="AA15" s="84"/>
      <c r="AB15" s="29">
        <f t="shared" si="8"/>
        <v>0</v>
      </c>
      <c r="AC15" s="84"/>
      <c r="AD15" s="84"/>
      <c r="AE15" s="29">
        <f t="shared" si="9"/>
        <v>0</v>
      </c>
      <c r="AF15" s="84"/>
      <c r="AG15" s="84"/>
      <c r="AH15" s="29">
        <f t="shared" si="10"/>
        <v>0</v>
      </c>
      <c r="AI15" s="84"/>
      <c r="AJ15" s="84"/>
      <c r="AK15" s="29">
        <f t="shared" si="11"/>
        <v>0</v>
      </c>
      <c r="AL15" s="84"/>
      <c r="AM15" s="84"/>
      <c r="AN15" s="29">
        <f t="shared" si="12"/>
        <v>0</v>
      </c>
      <c r="AO15" s="28">
        <f t="shared" ref="AO15" si="28">E15+H15+K15+N15+Q15+T15+W15+Z15+AC15+AF15+AI15+AL15</f>
        <v>20</v>
      </c>
      <c r="AP15" s="28">
        <f t="shared" ref="AP15" si="29">F15+I15+L15+O15+R15+U15+X15+AA15+AD15+AG15+AJ15+AM15</f>
        <v>280</v>
      </c>
      <c r="AQ15" s="28">
        <f t="shared" ref="AQ15" si="30">G15+J15+M15+P15+S15+V15+Y15+AB15+AE15+AH15+AK15+AN15</f>
        <v>179.20000000000002</v>
      </c>
    </row>
    <row r="16" spans="1:43" x14ac:dyDescent="0.5">
      <c r="A16" s="24"/>
      <c r="B16" s="239" t="s">
        <v>10</v>
      </c>
      <c r="C16" s="240"/>
      <c r="D16" s="241"/>
      <c r="E16" s="22">
        <f t="shared" ref="E16:AQ16" si="31">SUM(E5:E15)</f>
        <v>1836</v>
      </c>
      <c r="F16" s="22">
        <f t="shared" si="31"/>
        <v>25850</v>
      </c>
      <c r="G16" s="22">
        <f t="shared" si="31"/>
        <v>17150.240000000002</v>
      </c>
      <c r="H16" s="22">
        <f t="shared" si="31"/>
        <v>1520</v>
      </c>
      <c r="I16" s="22">
        <f t="shared" si="31"/>
        <v>21570</v>
      </c>
      <c r="J16" s="22">
        <f t="shared" si="31"/>
        <v>14078.399999999998</v>
      </c>
      <c r="K16" s="22">
        <f t="shared" si="31"/>
        <v>1717</v>
      </c>
      <c r="L16" s="22">
        <f t="shared" si="31"/>
        <v>23948</v>
      </c>
      <c r="M16" s="22">
        <f t="shared" si="31"/>
        <v>15737.119999999999</v>
      </c>
      <c r="N16" s="22">
        <f t="shared" si="31"/>
        <v>2045</v>
      </c>
      <c r="O16" s="22">
        <f t="shared" si="31"/>
        <v>28878</v>
      </c>
      <c r="P16" s="22">
        <f t="shared" si="31"/>
        <v>18844.8</v>
      </c>
      <c r="Q16" s="22">
        <f t="shared" si="31"/>
        <v>1339</v>
      </c>
      <c r="R16" s="22">
        <f t="shared" si="31"/>
        <v>19746</v>
      </c>
      <c r="S16" s="22">
        <f t="shared" si="31"/>
        <v>12889.439999999999</v>
      </c>
      <c r="T16" s="22">
        <f t="shared" si="31"/>
        <v>1690</v>
      </c>
      <c r="U16" s="22">
        <f t="shared" si="31"/>
        <v>23630</v>
      </c>
      <c r="V16" s="22">
        <f t="shared" si="31"/>
        <v>15368</v>
      </c>
      <c r="W16" s="22">
        <f t="shared" si="31"/>
        <v>1623</v>
      </c>
      <c r="X16" s="22">
        <f t="shared" si="31"/>
        <v>23622</v>
      </c>
      <c r="Y16" s="22">
        <f t="shared" si="31"/>
        <v>15262.079999999998</v>
      </c>
      <c r="Z16" s="22">
        <f t="shared" si="31"/>
        <v>2027</v>
      </c>
      <c r="AA16" s="22">
        <f t="shared" si="31"/>
        <v>27836</v>
      </c>
      <c r="AB16" s="22">
        <f t="shared" si="31"/>
        <v>18085.760000000002</v>
      </c>
      <c r="AC16" s="22">
        <f t="shared" si="31"/>
        <v>979</v>
      </c>
      <c r="AD16" s="22">
        <f t="shared" si="31"/>
        <v>14486</v>
      </c>
      <c r="AE16" s="22">
        <f t="shared" si="31"/>
        <v>9530.24</v>
      </c>
      <c r="AF16" s="22">
        <f t="shared" si="31"/>
        <v>1664</v>
      </c>
      <c r="AG16" s="22">
        <f t="shared" si="31"/>
        <v>23086</v>
      </c>
      <c r="AH16" s="22">
        <f t="shared" si="31"/>
        <v>15174.640000000001</v>
      </c>
      <c r="AI16" s="22">
        <f t="shared" si="31"/>
        <v>880</v>
      </c>
      <c r="AJ16" s="22">
        <f t="shared" si="31"/>
        <v>12490</v>
      </c>
      <c r="AK16" s="22">
        <f t="shared" si="31"/>
        <v>8112.4</v>
      </c>
      <c r="AL16" s="22">
        <f t="shared" si="31"/>
        <v>1007</v>
      </c>
      <c r="AM16" s="22">
        <f t="shared" si="31"/>
        <v>13314</v>
      </c>
      <c r="AN16" s="22">
        <f t="shared" si="31"/>
        <v>8875.2000000000007</v>
      </c>
      <c r="AO16" s="22">
        <f t="shared" si="31"/>
        <v>18327</v>
      </c>
      <c r="AP16" s="22">
        <f t="shared" si="31"/>
        <v>258456</v>
      </c>
      <c r="AQ16" s="22">
        <f t="shared" si="31"/>
        <v>169108.31999999998</v>
      </c>
    </row>
    <row r="17" spans="1:43" x14ac:dyDescent="0.5">
      <c r="A17" s="39"/>
      <c r="B17" s="30"/>
      <c r="C17" s="30"/>
      <c r="D17" s="30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5">
      <c r="A18" s="29">
        <v>1</v>
      </c>
      <c r="B18" s="30" t="s">
        <v>6</v>
      </c>
      <c r="C18" s="1">
        <v>0.7</v>
      </c>
      <c r="D18" s="1" t="s">
        <v>96</v>
      </c>
      <c r="E18" s="29"/>
      <c r="F18" s="29"/>
      <c r="G18" s="29"/>
      <c r="H18" s="29"/>
      <c r="I18" s="29"/>
      <c r="J18" s="29">
        <f>I18*C18</f>
        <v>0</v>
      </c>
      <c r="K18" s="29">
        <f>192/12</f>
        <v>16</v>
      </c>
      <c r="L18" s="29">
        <v>192</v>
      </c>
      <c r="M18" s="29">
        <f>L18*C18</f>
        <v>134.39999999999998</v>
      </c>
      <c r="N18" s="29">
        <v>1</v>
      </c>
      <c r="O18" s="29">
        <v>12</v>
      </c>
      <c r="P18" s="29">
        <f>O18*C18</f>
        <v>8.3999999999999986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>
        <f>AD18*C18</f>
        <v>0</v>
      </c>
      <c r="AF18" s="29">
        <f>300/12</f>
        <v>25</v>
      </c>
      <c r="AG18" s="29">
        <v>300</v>
      </c>
      <c r="AH18" s="29">
        <f>AG18*C18</f>
        <v>210</v>
      </c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5">
      <c r="A19" s="29">
        <v>2</v>
      </c>
      <c r="B19" s="30" t="s">
        <v>5</v>
      </c>
      <c r="C19" s="1">
        <v>0.35</v>
      </c>
      <c r="D19" s="1" t="s">
        <v>98</v>
      </c>
      <c r="E19" s="29"/>
      <c r="F19" s="29"/>
      <c r="G19" s="29"/>
      <c r="H19" s="29"/>
      <c r="I19" s="29"/>
      <c r="J19" s="29">
        <f t="shared" ref="J19:J26" si="32">I19*C19</f>
        <v>0</v>
      </c>
      <c r="K19" s="29">
        <f>96/24</f>
        <v>4</v>
      </c>
      <c r="L19" s="29">
        <v>96</v>
      </c>
      <c r="M19" s="29">
        <f t="shared" ref="M19:M26" si="33">L19*C19</f>
        <v>33.599999999999994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>
        <f t="shared" ref="AE19:AE26" si="34">AD19*C19</f>
        <v>0</v>
      </c>
      <c r="AF19" s="29"/>
      <c r="AG19" s="29"/>
      <c r="AH19" s="29">
        <f t="shared" ref="AH19:AH26" si="35">AG19*C19</f>
        <v>0</v>
      </c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5">
      <c r="A20" s="29">
        <v>3</v>
      </c>
      <c r="B20" s="30" t="s">
        <v>4</v>
      </c>
      <c r="C20" s="1">
        <v>0.17499999999999999</v>
      </c>
      <c r="D20" s="1" t="s">
        <v>100</v>
      </c>
      <c r="E20" s="29"/>
      <c r="F20" s="29"/>
      <c r="G20" s="29"/>
      <c r="H20" s="29"/>
      <c r="I20" s="29"/>
      <c r="J20" s="29">
        <f t="shared" si="32"/>
        <v>0</v>
      </c>
      <c r="K20" s="29"/>
      <c r="L20" s="29"/>
      <c r="M20" s="29">
        <f t="shared" si="33"/>
        <v>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>
        <f t="shared" si="34"/>
        <v>0</v>
      </c>
      <c r="AF20" s="29"/>
      <c r="AG20" s="29"/>
      <c r="AH20" s="29">
        <f t="shared" si="35"/>
        <v>0</v>
      </c>
      <c r="AI20" s="29"/>
      <c r="AJ20" s="29">
        <v>2</v>
      </c>
      <c r="AK20" s="29">
        <f>AJ20*C20</f>
        <v>0.35</v>
      </c>
      <c r="AL20" s="29"/>
      <c r="AM20" s="29"/>
      <c r="AN20" s="29"/>
      <c r="AO20" s="29"/>
      <c r="AP20" s="29"/>
      <c r="AQ20" s="29"/>
    </row>
    <row r="21" spans="1:43" x14ac:dyDescent="0.5">
      <c r="A21" s="29">
        <v>4</v>
      </c>
      <c r="B21" s="30" t="s">
        <v>3</v>
      </c>
      <c r="C21" s="1">
        <v>0.7</v>
      </c>
      <c r="D21" s="1" t="s">
        <v>96</v>
      </c>
      <c r="E21" s="29"/>
      <c r="F21" s="29"/>
      <c r="G21" s="29"/>
      <c r="H21" s="29"/>
      <c r="I21" s="29"/>
      <c r="J21" s="29">
        <f t="shared" si="32"/>
        <v>0</v>
      </c>
      <c r="K21" s="29"/>
      <c r="L21" s="29"/>
      <c r="M21" s="29">
        <f t="shared" si="33"/>
        <v>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>
        <v>24</v>
      </c>
      <c r="AE21" s="29">
        <f t="shared" si="34"/>
        <v>16.799999999999997</v>
      </c>
      <c r="AF21" s="29">
        <f>168/12</f>
        <v>14</v>
      </c>
      <c r="AG21" s="29">
        <v>168</v>
      </c>
      <c r="AH21" s="29">
        <f t="shared" si="35"/>
        <v>117.6</v>
      </c>
      <c r="AI21" s="29">
        <f>AJ21/12</f>
        <v>20.5</v>
      </c>
      <c r="AJ21" s="29">
        <v>246</v>
      </c>
      <c r="AK21" s="29">
        <f>AJ21*C21</f>
        <v>172.2</v>
      </c>
      <c r="AL21" s="29"/>
      <c r="AM21" s="29"/>
      <c r="AN21" s="29"/>
      <c r="AO21" s="29"/>
      <c r="AP21" s="29"/>
      <c r="AQ21" s="29"/>
    </row>
    <row r="22" spans="1:43" x14ac:dyDescent="0.5">
      <c r="A22" s="29">
        <v>5</v>
      </c>
      <c r="B22" s="30" t="s">
        <v>2</v>
      </c>
      <c r="C22" s="1">
        <v>0.35</v>
      </c>
      <c r="D22" s="1" t="s">
        <v>98</v>
      </c>
      <c r="E22" s="29"/>
      <c r="F22" s="29"/>
      <c r="G22" s="29"/>
      <c r="H22" s="29">
        <f>126/24</f>
        <v>5.25</v>
      </c>
      <c r="I22" s="29">
        <v>126</v>
      </c>
      <c r="J22" s="29">
        <f t="shared" si="32"/>
        <v>44.099999999999994</v>
      </c>
      <c r="K22" s="29"/>
      <c r="L22" s="29"/>
      <c r="M22" s="29">
        <f t="shared" si="33"/>
        <v>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>
        <v>24</v>
      </c>
      <c r="AE22" s="29">
        <f t="shared" si="34"/>
        <v>8.3999999999999986</v>
      </c>
      <c r="AF22" s="29"/>
      <c r="AG22" s="29"/>
      <c r="AH22" s="29">
        <f t="shared" si="35"/>
        <v>0</v>
      </c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5">
      <c r="A23" s="29">
        <v>6</v>
      </c>
      <c r="B23" s="30" t="s">
        <v>1</v>
      </c>
      <c r="C23" s="1">
        <v>0.17499999999999999</v>
      </c>
      <c r="D23" s="1" t="s">
        <v>100</v>
      </c>
      <c r="E23" s="29"/>
      <c r="F23" s="29"/>
      <c r="G23" s="29"/>
      <c r="H23" s="29">
        <f>60/48</f>
        <v>1.25</v>
      </c>
      <c r="I23" s="29">
        <v>60</v>
      </c>
      <c r="J23" s="29">
        <f t="shared" si="32"/>
        <v>10.5</v>
      </c>
      <c r="K23" s="29"/>
      <c r="L23" s="29"/>
      <c r="M23" s="29">
        <f t="shared" si="33"/>
        <v>0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>
        <f t="shared" si="34"/>
        <v>0</v>
      </c>
      <c r="AF23" s="29"/>
      <c r="AG23" s="29"/>
      <c r="AH23" s="29">
        <f t="shared" si="35"/>
        <v>0</v>
      </c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5">
      <c r="A24" s="29">
        <v>7</v>
      </c>
      <c r="B24" s="30" t="s">
        <v>0</v>
      </c>
      <c r="C24" s="1">
        <v>0.7</v>
      </c>
      <c r="D24" s="1" t="s">
        <v>96</v>
      </c>
      <c r="E24" s="29"/>
      <c r="F24" s="29"/>
      <c r="G24" s="29"/>
      <c r="H24" s="29"/>
      <c r="I24" s="29"/>
      <c r="J24" s="29">
        <f t="shared" si="32"/>
        <v>0</v>
      </c>
      <c r="K24" s="29"/>
      <c r="L24" s="29"/>
      <c r="M24" s="29">
        <f t="shared" si="33"/>
        <v>0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>
        <f t="shared" si="34"/>
        <v>0</v>
      </c>
      <c r="AF24" s="29"/>
      <c r="AG24" s="29"/>
      <c r="AH24" s="29">
        <f t="shared" si="35"/>
        <v>0</v>
      </c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5">
      <c r="A25" s="29">
        <v>8</v>
      </c>
      <c r="B25" s="30" t="s">
        <v>8</v>
      </c>
      <c r="C25" s="1">
        <v>0.7</v>
      </c>
      <c r="D25" s="1" t="s">
        <v>96</v>
      </c>
      <c r="E25" s="29"/>
      <c r="F25" s="29"/>
      <c r="G25" s="29"/>
      <c r="H25" s="29"/>
      <c r="I25" s="29"/>
      <c r="J25" s="29">
        <f t="shared" si="32"/>
        <v>0</v>
      </c>
      <c r="K25" s="29"/>
      <c r="L25" s="29"/>
      <c r="M25" s="29">
        <f t="shared" si="33"/>
        <v>0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>
        <f t="shared" si="34"/>
        <v>0</v>
      </c>
      <c r="AF25" s="29"/>
      <c r="AG25" s="29"/>
      <c r="AH25" s="29">
        <f t="shared" si="35"/>
        <v>0</v>
      </c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5">
      <c r="A26" s="29">
        <v>9</v>
      </c>
      <c r="B26" s="30" t="s">
        <v>7</v>
      </c>
      <c r="C26" s="1">
        <v>0.35</v>
      </c>
      <c r="D26" s="1" t="s">
        <v>98</v>
      </c>
      <c r="E26" s="29"/>
      <c r="F26" s="29"/>
      <c r="G26" s="29"/>
      <c r="H26" s="29"/>
      <c r="I26" s="29"/>
      <c r="J26" s="29">
        <f t="shared" si="32"/>
        <v>0</v>
      </c>
      <c r="K26" s="29"/>
      <c r="L26" s="29"/>
      <c r="M26" s="29">
        <f t="shared" si="33"/>
        <v>0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>
        <f t="shared" si="34"/>
        <v>0</v>
      </c>
      <c r="AF26" s="29"/>
      <c r="AG26" s="29"/>
      <c r="AH26" s="29">
        <f t="shared" si="35"/>
        <v>0</v>
      </c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5">
      <c r="A27" s="46"/>
      <c r="B27" s="239" t="s">
        <v>10</v>
      </c>
      <c r="C27" s="240"/>
      <c r="D27" s="241"/>
      <c r="E27" s="22">
        <f t="shared" ref="E27:F27" si="36">SUM(E18:E26)</f>
        <v>0</v>
      </c>
      <c r="F27" s="22">
        <f t="shared" si="36"/>
        <v>0</v>
      </c>
      <c r="G27" s="22">
        <f>SUM(G18:G26)</f>
        <v>0</v>
      </c>
      <c r="H27" s="22">
        <f t="shared" ref="H27:AN27" si="37">SUM(H18:H26)</f>
        <v>6.5</v>
      </c>
      <c r="I27" s="22">
        <f t="shared" si="37"/>
        <v>186</v>
      </c>
      <c r="J27" s="22">
        <f t="shared" si="37"/>
        <v>54.599999999999994</v>
      </c>
      <c r="K27" s="22">
        <f t="shared" si="37"/>
        <v>20</v>
      </c>
      <c r="L27" s="22">
        <f t="shared" si="37"/>
        <v>288</v>
      </c>
      <c r="M27" s="22">
        <f t="shared" si="37"/>
        <v>167.99999999999997</v>
      </c>
      <c r="N27" s="22">
        <f t="shared" si="37"/>
        <v>1</v>
      </c>
      <c r="O27" s="22">
        <f t="shared" si="37"/>
        <v>12</v>
      </c>
      <c r="P27" s="22">
        <f t="shared" si="37"/>
        <v>8.3999999999999986</v>
      </c>
      <c r="Q27" s="22">
        <f t="shared" si="37"/>
        <v>0</v>
      </c>
      <c r="R27" s="22">
        <f t="shared" si="37"/>
        <v>0</v>
      </c>
      <c r="S27" s="22">
        <f t="shared" si="37"/>
        <v>0</v>
      </c>
      <c r="T27" s="22">
        <f t="shared" si="37"/>
        <v>0</v>
      </c>
      <c r="U27" s="22">
        <f t="shared" si="37"/>
        <v>0</v>
      </c>
      <c r="V27" s="22">
        <f t="shared" si="37"/>
        <v>0</v>
      </c>
      <c r="W27" s="22">
        <f t="shared" si="37"/>
        <v>0</v>
      </c>
      <c r="X27" s="22">
        <f t="shared" si="37"/>
        <v>0</v>
      </c>
      <c r="Y27" s="22">
        <f t="shared" si="37"/>
        <v>0</v>
      </c>
      <c r="Z27" s="22">
        <f t="shared" si="37"/>
        <v>0</v>
      </c>
      <c r="AA27" s="22">
        <f t="shared" si="37"/>
        <v>0</v>
      </c>
      <c r="AB27" s="22">
        <f t="shared" si="37"/>
        <v>0</v>
      </c>
      <c r="AC27" s="22">
        <f t="shared" si="37"/>
        <v>0</v>
      </c>
      <c r="AD27" s="22">
        <f t="shared" si="37"/>
        <v>48</v>
      </c>
      <c r="AE27" s="22">
        <f t="shared" si="37"/>
        <v>25.199999999999996</v>
      </c>
      <c r="AF27" s="22">
        <f t="shared" si="37"/>
        <v>39</v>
      </c>
      <c r="AG27" s="22">
        <f t="shared" si="37"/>
        <v>468</v>
      </c>
      <c r="AH27" s="22">
        <f t="shared" si="37"/>
        <v>327.60000000000002</v>
      </c>
      <c r="AI27" s="22">
        <f t="shared" si="37"/>
        <v>20.5</v>
      </c>
      <c r="AJ27" s="22">
        <f t="shared" si="37"/>
        <v>248</v>
      </c>
      <c r="AK27" s="22">
        <f t="shared" si="37"/>
        <v>172.54999999999998</v>
      </c>
      <c r="AL27" s="22">
        <f t="shared" si="37"/>
        <v>0</v>
      </c>
      <c r="AM27" s="22">
        <f t="shared" si="37"/>
        <v>0</v>
      </c>
      <c r="AN27" s="22">
        <f t="shared" si="37"/>
        <v>0</v>
      </c>
      <c r="AO27" s="22">
        <f t="shared" ref="AO27:AQ27" si="38">SUM(AO18:AO26)</f>
        <v>0</v>
      </c>
      <c r="AP27" s="22">
        <f t="shared" si="38"/>
        <v>0</v>
      </c>
      <c r="AQ27" s="22">
        <f t="shared" si="38"/>
        <v>0</v>
      </c>
    </row>
    <row r="28" spans="1:43" x14ac:dyDescent="0.5">
      <c r="A28" s="45"/>
      <c r="B28" s="242" t="s">
        <v>49</v>
      </c>
      <c r="C28" s="243"/>
      <c r="D28" s="244"/>
      <c r="E28" s="38">
        <f t="shared" ref="E28:F28" si="39">E16+E27</f>
        <v>1836</v>
      </c>
      <c r="F28" s="38">
        <f t="shared" si="39"/>
        <v>25850</v>
      </c>
      <c r="G28" s="38">
        <f>G16+G27</f>
        <v>17150.240000000002</v>
      </c>
      <c r="H28" s="38">
        <f t="shared" ref="H28" si="40">H16+H27</f>
        <v>1526.5</v>
      </c>
      <c r="I28" s="38">
        <f>I16+I27</f>
        <v>21756</v>
      </c>
      <c r="J28" s="89">
        <f>J16+J27</f>
        <v>14132.999999999998</v>
      </c>
      <c r="K28" s="38">
        <f t="shared" ref="K28:O28" si="41">K16+K27</f>
        <v>1737</v>
      </c>
      <c r="L28" s="38">
        <f t="shared" si="41"/>
        <v>24236</v>
      </c>
      <c r="M28" s="89">
        <f t="shared" si="41"/>
        <v>15905.119999999999</v>
      </c>
      <c r="N28" s="38">
        <f t="shared" si="41"/>
        <v>2046</v>
      </c>
      <c r="O28" s="38">
        <f t="shared" si="41"/>
        <v>28890</v>
      </c>
      <c r="P28" s="37">
        <f>P16+P27</f>
        <v>18853.2</v>
      </c>
      <c r="Q28" s="38">
        <f t="shared" ref="Q28" si="42">Q16+Q27</f>
        <v>1339</v>
      </c>
      <c r="R28" s="38"/>
      <c r="S28" s="37">
        <f t="shared" ref="S28:T28" si="43">S16+S27</f>
        <v>12889.439999999999</v>
      </c>
      <c r="T28" s="38">
        <f t="shared" si="43"/>
        <v>1690</v>
      </c>
      <c r="U28" s="38"/>
      <c r="V28" s="37">
        <f t="shared" ref="V28:W28" si="44">V16+V27</f>
        <v>15368</v>
      </c>
      <c r="W28" s="38">
        <f t="shared" si="44"/>
        <v>1623</v>
      </c>
      <c r="X28" s="38"/>
      <c r="Y28" s="37">
        <f t="shared" ref="Y28:Z28" si="45">Y16+Y27</f>
        <v>15262.079999999998</v>
      </c>
      <c r="Z28" s="38">
        <f t="shared" si="45"/>
        <v>2027</v>
      </c>
      <c r="AA28" s="38"/>
      <c r="AB28" s="37">
        <f t="shared" ref="AB28:AC28" si="46">AB16+AB27</f>
        <v>18085.760000000002</v>
      </c>
      <c r="AC28" s="38">
        <f t="shared" si="46"/>
        <v>979</v>
      </c>
      <c r="AD28" s="38"/>
      <c r="AE28" s="37">
        <f t="shared" ref="AE28:AF28" si="47">AE16+AE27</f>
        <v>9555.44</v>
      </c>
      <c r="AF28" s="38">
        <f t="shared" si="47"/>
        <v>1703</v>
      </c>
      <c r="AG28" s="38"/>
      <c r="AH28" s="37">
        <f t="shared" ref="AH28:AI28" si="48">AH16+AH27</f>
        <v>15502.240000000002</v>
      </c>
      <c r="AI28" s="38">
        <f t="shared" si="48"/>
        <v>900.5</v>
      </c>
      <c r="AJ28" s="38"/>
      <c r="AK28" s="37">
        <f t="shared" ref="AK28:AL28" si="49">AK16+AK27</f>
        <v>8284.9499999999989</v>
      </c>
      <c r="AL28" s="38">
        <f t="shared" si="49"/>
        <v>1007</v>
      </c>
      <c r="AM28" s="38"/>
      <c r="AN28" s="37">
        <f t="shared" ref="AN28:AO28" si="50">AN16+AN27</f>
        <v>8875.2000000000007</v>
      </c>
      <c r="AO28" s="38">
        <f t="shared" si="50"/>
        <v>18327</v>
      </c>
      <c r="AP28" s="38"/>
      <c r="AQ28" s="37">
        <f t="shared" ref="AQ28" si="51">AQ16+AQ27</f>
        <v>169108.31999999998</v>
      </c>
    </row>
    <row r="31" spans="1:43" ht="25.15" customHeight="1" x14ac:dyDescent="0.5">
      <c r="B31" s="41" t="s">
        <v>105</v>
      </c>
    </row>
    <row r="32" spans="1:43" ht="15" customHeight="1" x14ac:dyDescent="0.5"/>
    <row r="33" spans="1:43" ht="42.75" customHeight="1" x14ac:dyDescent="0.5">
      <c r="A33" s="245" t="s">
        <v>52</v>
      </c>
      <c r="B33" s="245" t="s">
        <v>51</v>
      </c>
      <c r="C33" s="247" t="s">
        <v>117</v>
      </c>
      <c r="D33" s="247" t="s">
        <v>95</v>
      </c>
      <c r="E33" s="236" t="s">
        <v>114</v>
      </c>
      <c r="F33" s="237"/>
      <c r="G33" s="238"/>
      <c r="H33" s="236" t="s">
        <v>58</v>
      </c>
      <c r="I33" s="237"/>
      <c r="J33" s="238"/>
      <c r="K33" s="236" t="s">
        <v>59</v>
      </c>
      <c r="L33" s="237"/>
      <c r="M33" s="238"/>
      <c r="N33" s="236" t="s">
        <v>60</v>
      </c>
      <c r="O33" s="237"/>
      <c r="P33" s="238"/>
      <c r="Q33" s="236" t="s">
        <v>61</v>
      </c>
      <c r="R33" s="237"/>
      <c r="S33" s="238"/>
      <c r="T33" s="236" t="s">
        <v>62</v>
      </c>
      <c r="U33" s="237"/>
      <c r="V33" s="238"/>
      <c r="W33" s="236" t="s">
        <v>63</v>
      </c>
      <c r="X33" s="237"/>
      <c r="Y33" s="238"/>
      <c r="Z33" s="236" t="s">
        <v>64</v>
      </c>
      <c r="AA33" s="237"/>
      <c r="AB33" s="238"/>
      <c r="AC33" s="236" t="s">
        <v>65</v>
      </c>
      <c r="AD33" s="237"/>
      <c r="AE33" s="238"/>
      <c r="AF33" s="236" t="s">
        <v>18</v>
      </c>
      <c r="AG33" s="237"/>
      <c r="AH33" s="238"/>
      <c r="AI33" s="236" t="s">
        <v>17</v>
      </c>
      <c r="AJ33" s="237"/>
      <c r="AK33" s="238"/>
      <c r="AL33" s="236" t="s">
        <v>16</v>
      </c>
      <c r="AM33" s="237"/>
      <c r="AN33" s="238"/>
      <c r="AO33" s="236" t="s">
        <v>10</v>
      </c>
      <c r="AP33" s="237"/>
      <c r="AQ33" s="238"/>
    </row>
    <row r="34" spans="1:43" ht="25.15" customHeight="1" x14ac:dyDescent="0.5">
      <c r="A34" s="246"/>
      <c r="B34" s="246"/>
      <c r="C34" s="248"/>
      <c r="D34" s="248"/>
      <c r="E34" s="40" t="s">
        <v>50</v>
      </c>
      <c r="F34" s="40" t="s">
        <v>56</v>
      </c>
      <c r="G34" s="40" t="s">
        <v>93</v>
      </c>
      <c r="H34" s="40" t="s">
        <v>50</v>
      </c>
      <c r="I34" s="40" t="s">
        <v>56</v>
      </c>
      <c r="J34" s="40" t="s">
        <v>57</v>
      </c>
      <c r="K34" s="40" t="s">
        <v>50</v>
      </c>
      <c r="L34" s="40" t="s">
        <v>56</v>
      </c>
      <c r="M34" s="40" t="s">
        <v>57</v>
      </c>
      <c r="N34" s="40" t="s">
        <v>50</v>
      </c>
      <c r="O34" s="40" t="s">
        <v>56</v>
      </c>
      <c r="P34" s="40" t="s">
        <v>57</v>
      </c>
      <c r="Q34" s="40" t="s">
        <v>50</v>
      </c>
      <c r="R34" s="40" t="s">
        <v>56</v>
      </c>
      <c r="S34" s="40" t="s">
        <v>57</v>
      </c>
      <c r="T34" s="40" t="s">
        <v>50</v>
      </c>
      <c r="U34" s="40" t="s">
        <v>56</v>
      </c>
      <c r="V34" s="40" t="s">
        <v>57</v>
      </c>
      <c r="W34" s="40" t="s">
        <v>50</v>
      </c>
      <c r="X34" s="40" t="s">
        <v>56</v>
      </c>
      <c r="Y34" s="40" t="s">
        <v>57</v>
      </c>
      <c r="Z34" s="40" t="s">
        <v>50</v>
      </c>
      <c r="AA34" s="40" t="s">
        <v>56</v>
      </c>
      <c r="AB34" s="40" t="s">
        <v>57</v>
      </c>
      <c r="AC34" s="40" t="s">
        <v>50</v>
      </c>
      <c r="AD34" s="40" t="s">
        <v>56</v>
      </c>
      <c r="AE34" s="40" t="s">
        <v>57</v>
      </c>
      <c r="AF34" s="40" t="s">
        <v>50</v>
      </c>
      <c r="AG34" s="40" t="s">
        <v>56</v>
      </c>
      <c r="AH34" s="40" t="s">
        <v>57</v>
      </c>
      <c r="AI34" s="40" t="s">
        <v>50</v>
      </c>
      <c r="AJ34" s="40" t="s">
        <v>56</v>
      </c>
      <c r="AK34" s="40" t="s">
        <v>57</v>
      </c>
      <c r="AL34" s="40" t="s">
        <v>50</v>
      </c>
      <c r="AM34" s="40" t="s">
        <v>56</v>
      </c>
      <c r="AN34" s="40" t="s">
        <v>57</v>
      </c>
      <c r="AO34" s="40" t="s">
        <v>50</v>
      </c>
      <c r="AP34" s="40" t="s">
        <v>56</v>
      </c>
      <c r="AQ34" s="40" t="s">
        <v>57</v>
      </c>
    </row>
    <row r="35" spans="1:43" ht="20.100000000000001" customHeight="1" x14ac:dyDescent="0.5">
      <c r="A35" s="92">
        <v>1</v>
      </c>
      <c r="B35" s="91" t="s">
        <v>67</v>
      </c>
      <c r="C35" s="88">
        <v>0.7</v>
      </c>
      <c r="D35" s="88" t="s">
        <v>96</v>
      </c>
      <c r="E35" s="90"/>
      <c r="F35" s="90"/>
      <c r="G35" s="90"/>
      <c r="H35" s="90">
        <v>85</v>
      </c>
      <c r="I35" s="90">
        <v>1020</v>
      </c>
      <c r="J35" s="90">
        <f>I35*C35</f>
        <v>714</v>
      </c>
      <c r="K35" s="34">
        <v>160</v>
      </c>
      <c r="L35" s="34">
        <v>1920</v>
      </c>
      <c r="M35" s="58">
        <f>L35*C35</f>
        <v>1344</v>
      </c>
      <c r="N35" s="57">
        <v>324</v>
      </c>
      <c r="O35" s="57">
        <v>3888</v>
      </c>
      <c r="P35" s="57">
        <f t="shared" ref="P35:P37" si="52">O35*C35</f>
        <v>2721.6</v>
      </c>
      <c r="Q35" s="30">
        <v>100</v>
      </c>
      <c r="R35" s="30">
        <v>1200</v>
      </c>
      <c r="S35" s="112">
        <f>R35*C35</f>
        <v>840</v>
      </c>
      <c r="T35" s="30">
        <v>50</v>
      </c>
      <c r="U35" s="30">
        <v>600</v>
      </c>
      <c r="V35" s="167">
        <f>U35*C35</f>
        <v>420</v>
      </c>
      <c r="W35" s="30">
        <v>140</v>
      </c>
      <c r="X35" s="30">
        <v>1680</v>
      </c>
      <c r="Y35" s="28">
        <f>X35*C35</f>
        <v>1176</v>
      </c>
      <c r="Z35" s="34">
        <v>200</v>
      </c>
      <c r="AA35" s="34">
        <v>2400</v>
      </c>
      <c r="AB35" s="34">
        <v>1680</v>
      </c>
      <c r="AC35" s="30">
        <v>100</v>
      </c>
      <c r="AD35" s="30">
        <v>1200</v>
      </c>
      <c r="AE35" s="30">
        <v>840</v>
      </c>
      <c r="AF35" s="30"/>
      <c r="AG35" s="30"/>
      <c r="AH35" s="30"/>
      <c r="AI35" s="30">
        <v>300</v>
      </c>
      <c r="AJ35" s="30">
        <v>3600</v>
      </c>
      <c r="AK35" s="30">
        <v>2520</v>
      </c>
      <c r="AL35" s="30"/>
      <c r="AM35" s="30"/>
      <c r="AN35" s="30"/>
      <c r="AO35" s="30"/>
      <c r="AP35" s="30"/>
      <c r="AQ35" s="30"/>
    </row>
    <row r="36" spans="1:43" ht="20.100000000000001" customHeight="1" x14ac:dyDescent="0.5">
      <c r="A36" s="86">
        <v>2</v>
      </c>
      <c r="B36" s="1" t="s">
        <v>73</v>
      </c>
      <c r="C36" s="1">
        <v>0.64</v>
      </c>
      <c r="D36" s="1" t="s">
        <v>99</v>
      </c>
      <c r="E36" s="28"/>
      <c r="F36" s="28"/>
      <c r="G36" s="28">
        <f>F36*C36</f>
        <v>0</v>
      </c>
      <c r="H36" s="30"/>
      <c r="I36" s="30"/>
      <c r="J36" s="30">
        <f>I36*C36</f>
        <v>0</v>
      </c>
      <c r="K36" s="34"/>
      <c r="L36" s="34"/>
      <c r="M36" s="58">
        <f t="shared" ref="M36:M44" si="53">L36*C36</f>
        <v>0</v>
      </c>
      <c r="N36" s="28"/>
      <c r="O36" s="28"/>
      <c r="P36" s="57">
        <f t="shared" si="52"/>
        <v>0</v>
      </c>
      <c r="Q36" s="30"/>
      <c r="R36" s="30"/>
      <c r="S36" s="112">
        <f t="shared" ref="S36:S44" si="54">R36*C36</f>
        <v>0</v>
      </c>
      <c r="T36" s="30">
        <v>225</v>
      </c>
      <c r="U36" s="30">
        <v>3150</v>
      </c>
      <c r="V36" s="167">
        <f t="shared" ref="V36:V44" si="55">U36*C36</f>
        <v>2016</v>
      </c>
      <c r="W36" s="30">
        <v>615</v>
      </c>
      <c r="X36" s="30">
        <v>8610</v>
      </c>
      <c r="Y36" s="28">
        <f t="shared" ref="Y36:Y44" si="56">X36*C36</f>
        <v>5510.4000000000005</v>
      </c>
      <c r="Z36" s="34"/>
      <c r="AA36" s="34"/>
      <c r="AB36" s="34"/>
      <c r="AC36" s="30">
        <v>380</v>
      </c>
      <c r="AD36" s="30">
        <v>5320</v>
      </c>
      <c r="AE36" s="30">
        <v>3404.7999999999997</v>
      </c>
      <c r="AF36" s="30">
        <v>275</v>
      </c>
      <c r="AG36" s="30">
        <v>3850</v>
      </c>
      <c r="AH36" s="30">
        <v>2464</v>
      </c>
      <c r="AI36" s="30">
        <v>375</v>
      </c>
      <c r="AJ36" s="30">
        <v>5250</v>
      </c>
      <c r="AK36" s="30">
        <v>3360</v>
      </c>
      <c r="AL36" s="30">
        <v>400</v>
      </c>
      <c r="AM36" s="30">
        <v>5600</v>
      </c>
      <c r="AN36" s="30">
        <v>3584</v>
      </c>
      <c r="AO36" s="30"/>
      <c r="AP36" s="30"/>
      <c r="AQ36" s="30"/>
    </row>
    <row r="37" spans="1:43" ht="20.100000000000001" customHeight="1" x14ac:dyDescent="0.5">
      <c r="A37" s="86">
        <v>3</v>
      </c>
      <c r="B37" s="1" t="s">
        <v>88</v>
      </c>
      <c r="C37" s="30">
        <v>0.64</v>
      </c>
      <c r="D37" s="30" t="s">
        <v>99</v>
      </c>
      <c r="E37" s="28">
        <v>550</v>
      </c>
      <c r="F37" s="28">
        <v>7700</v>
      </c>
      <c r="G37" s="29">
        <f t="shared" ref="G37:G44" si="57">F37*C37</f>
        <v>4928</v>
      </c>
      <c r="H37" s="28">
        <v>700</v>
      </c>
      <c r="I37" s="95">
        <v>9800</v>
      </c>
      <c r="J37" s="30">
        <f t="shared" ref="J37:J43" si="58">I37*C37</f>
        <v>6272</v>
      </c>
      <c r="K37" s="28">
        <v>501</v>
      </c>
      <c r="L37" s="28">
        <v>7014</v>
      </c>
      <c r="M37" s="58">
        <f t="shared" si="53"/>
        <v>4488.96</v>
      </c>
      <c r="N37" s="28">
        <v>491</v>
      </c>
      <c r="O37" s="28">
        <v>6874</v>
      </c>
      <c r="P37" s="57">
        <f t="shared" si="52"/>
        <v>4399.3599999999997</v>
      </c>
      <c r="Q37" s="95">
        <v>250.28571428571428</v>
      </c>
      <c r="R37" s="95">
        <v>3500</v>
      </c>
      <c r="S37" s="112">
        <f t="shared" si="54"/>
        <v>2240</v>
      </c>
      <c r="T37" s="95">
        <v>750</v>
      </c>
      <c r="U37" s="95">
        <v>10500</v>
      </c>
      <c r="V37" s="167">
        <f t="shared" si="55"/>
        <v>6720</v>
      </c>
      <c r="W37" s="95">
        <v>300</v>
      </c>
      <c r="X37" s="95">
        <v>4200</v>
      </c>
      <c r="Y37" s="28">
        <f t="shared" si="56"/>
        <v>2688</v>
      </c>
      <c r="Z37" s="29">
        <v>600</v>
      </c>
      <c r="AA37" s="29">
        <v>8400</v>
      </c>
      <c r="AB37" s="29">
        <v>5376</v>
      </c>
      <c r="AC37" s="95">
        <v>350</v>
      </c>
      <c r="AD37" s="95">
        <v>4900</v>
      </c>
      <c r="AE37" s="95">
        <v>3136</v>
      </c>
      <c r="AF37" s="95">
        <v>600</v>
      </c>
      <c r="AG37" s="95">
        <v>8400</v>
      </c>
      <c r="AH37" s="95">
        <v>5376</v>
      </c>
      <c r="AI37" s="95">
        <v>302</v>
      </c>
      <c r="AJ37" s="95">
        <v>4228</v>
      </c>
      <c r="AK37" s="95">
        <v>2705.92</v>
      </c>
      <c r="AL37" s="95">
        <v>330</v>
      </c>
      <c r="AM37" s="95">
        <v>4620</v>
      </c>
      <c r="AN37" s="95">
        <v>2956.8</v>
      </c>
      <c r="AO37" s="95"/>
      <c r="AP37" s="95"/>
      <c r="AQ37" s="95"/>
    </row>
    <row r="38" spans="1:43" ht="20.100000000000001" customHeight="1" x14ac:dyDescent="0.5">
      <c r="A38" s="86">
        <v>4</v>
      </c>
      <c r="B38" s="1" t="s">
        <v>88</v>
      </c>
      <c r="C38" s="30">
        <v>0.64</v>
      </c>
      <c r="D38" s="30" t="s">
        <v>151</v>
      </c>
      <c r="E38" s="57"/>
      <c r="F38" s="57"/>
      <c r="G38" s="29"/>
      <c r="H38" s="57"/>
      <c r="I38" s="113"/>
      <c r="J38" s="30"/>
      <c r="K38" s="57"/>
      <c r="L38" s="57"/>
      <c r="M38" s="58"/>
      <c r="N38" s="28"/>
      <c r="O38" s="28"/>
      <c r="P38" s="57"/>
      <c r="Q38" s="113"/>
      <c r="R38" s="113"/>
      <c r="S38" s="112"/>
      <c r="T38" s="113"/>
      <c r="U38" s="113"/>
      <c r="V38" s="167"/>
      <c r="W38" s="113"/>
      <c r="X38" s="113"/>
      <c r="Y38" s="28"/>
      <c r="Z38" s="84"/>
      <c r="AA38" s="84"/>
      <c r="AB38" s="84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>
        <v>30</v>
      </c>
      <c r="AM38" s="113">
        <v>720</v>
      </c>
      <c r="AN38" s="113">
        <v>460.8</v>
      </c>
      <c r="AO38" s="113"/>
      <c r="AP38" s="113"/>
      <c r="AQ38" s="113"/>
    </row>
    <row r="39" spans="1:43" ht="20.100000000000001" customHeight="1" x14ac:dyDescent="0.5">
      <c r="A39" s="86">
        <v>5</v>
      </c>
      <c r="B39" s="1" t="s">
        <v>69</v>
      </c>
      <c r="C39" s="30">
        <v>1</v>
      </c>
      <c r="D39" s="30" t="s">
        <v>96</v>
      </c>
      <c r="E39" s="57"/>
      <c r="F39" s="57"/>
      <c r="G39" s="29">
        <f t="shared" si="57"/>
        <v>0</v>
      </c>
      <c r="H39" s="57">
        <v>20</v>
      </c>
      <c r="I39" s="113">
        <v>240</v>
      </c>
      <c r="J39" s="30">
        <f t="shared" si="58"/>
        <v>240</v>
      </c>
      <c r="K39" s="57">
        <v>25</v>
      </c>
      <c r="L39" s="57">
        <v>300</v>
      </c>
      <c r="M39" s="58">
        <f t="shared" si="53"/>
        <v>300</v>
      </c>
      <c r="N39" s="28"/>
      <c r="O39" s="28"/>
      <c r="P39" s="57">
        <f>O39*C39</f>
        <v>0</v>
      </c>
      <c r="Q39" s="113">
        <v>50</v>
      </c>
      <c r="R39" s="113">
        <v>600</v>
      </c>
      <c r="S39" s="112">
        <f t="shared" si="54"/>
        <v>600</v>
      </c>
      <c r="T39" s="113"/>
      <c r="U39" s="113"/>
      <c r="V39" s="167">
        <f t="shared" si="55"/>
        <v>0</v>
      </c>
      <c r="W39" s="113"/>
      <c r="X39" s="113"/>
      <c r="Y39" s="28">
        <f t="shared" si="56"/>
        <v>0</v>
      </c>
      <c r="Z39" s="84">
        <v>75</v>
      </c>
      <c r="AA39" s="84">
        <v>900</v>
      </c>
      <c r="AB39" s="84">
        <v>900</v>
      </c>
      <c r="AC39" s="113"/>
      <c r="AD39" s="113"/>
      <c r="AE39" s="113"/>
      <c r="AF39" s="113"/>
      <c r="AG39" s="113"/>
      <c r="AH39" s="113"/>
      <c r="AI39" s="113"/>
      <c r="AJ39" s="113"/>
      <c r="AK39" s="113"/>
      <c r="AL39" s="113">
        <v>25</v>
      </c>
      <c r="AM39" s="113">
        <v>300</v>
      </c>
      <c r="AN39" s="113">
        <v>300</v>
      </c>
      <c r="AO39" s="113"/>
      <c r="AP39" s="113"/>
      <c r="AQ39" s="113"/>
    </row>
    <row r="40" spans="1:43" ht="20.100000000000001" customHeight="1" x14ac:dyDescent="0.5">
      <c r="A40" s="86">
        <v>6</v>
      </c>
      <c r="B40" s="1" t="s">
        <v>80</v>
      </c>
      <c r="C40" s="30">
        <v>0.64</v>
      </c>
      <c r="D40" s="1" t="s">
        <v>99</v>
      </c>
      <c r="E40" s="30"/>
      <c r="F40" s="1"/>
      <c r="G40" s="29">
        <f t="shared" si="57"/>
        <v>0</v>
      </c>
      <c r="H40" s="57">
        <v>100</v>
      </c>
      <c r="I40" s="113">
        <v>1400</v>
      </c>
      <c r="J40" s="30">
        <f t="shared" si="58"/>
        <v>896</v>
      </c>
      <c r="K40" s="57"/>
      <c r="L40" s="57"/>
      <c r="M40" s="58">
        <f t="shared" si="53"/>
        <v>0</v>
      </c>
      <c r="N40" s="57">
        <v>100</v>
      </c>
      <c r="O40" s="57">
        <v>1400</v>
      </c>
      <c r="P40" s="57">
        <f>O40*C40</f>
        <v>896</v>
      </c>
      <c r="Q40" s="113">
        <v>100</v>
      </c>
      <c r="R40" s="113">
        <v>1400</v>
      </c>
      <c r="S40" s="112">
        <f t="shared" si="54"/>
        <v>896</v>
      </c>
      <c r="T40" s="113"/>
      <c r="U40" s="113"/>
      <c r="V40" s="167">
        <f t="shared" si="55"/>
        <v>0</v>
      </c>
      <c r="W40" s="113">
        <v>100</v>
      </c>
      <c r="X40" s="113">
        <v>1400</v>
      </c>
      <c r="Y40" s="28">
        <f t="shared" si="56"/>
        <v>896</v>
      </c>
      <c r="Z40" s="84">
        <v>100</v>
      </c>
      <c r="AA40" s="84">
        <v>1400</v>
      </c>
      <c r="AB40" s="84">
        <v>896</v>
      </c>
      <c r="AC40" s="113"/>
      <c r="AD40" s="113"/>
      <c r="AE40" s="113"/>
      <c r="AF40" s="113"/>
      <c r="AG40" s="113"/>
      <c r="AH40" s="113"/>
      <c r="AI40" s="113">
        <v>100</v>
      </c>
      <c r="AJ40" s="113">
        <v>1400</v>
      </c>
      <c r="AK40" s="113">
        <v>896</v>
      </c>
      <c r="AL40" s="113"/>
      <c r="AM40" s="113"/>
      <c r="AN40" s="113"/>
      <c r="AO40" s="113"/>
      <c r="AP40" s="113"/>
      <c r="AQ40" s="113"/>
    </row>
    <row r="41" spans="1:43" ht="20.100000000000001" customHeight="1" x14ac:dyDescent="0.5">
      <c r="A41" s="86">
        <v>7</v>
      </c>
      <c r="B41" s="1" t="s">
        <v>148</v>
      </c>
      <c r="C41" s="30">
        <v>0.64</v>
      </c>
      <c r="D41" s="1"/>
      <c r="E41" s="30"/>
      <c r="F41" s="1"/>
      <c r="G41" s="29"/>
      <c r="H41" s="57"/>
      <c r="I41" s="113"/>
      <c r="J41" s="30"/>
      <c r="K41" s="57"/>
      <c r="L41" s="57"/>
      <c r="M41" s="58"/>
      <c r="N41" s="57"/>
      <c r="O41" s="57"/>
      <c r="P41" s="57"/>
      <c r="Q41" s="113"/>
      <c r="R41" s="113"/>
      <c r="S41" s="112"/>
      <c r="T41" s="113"/>
      <c r="U41" s="113"/>
      <c r="V41" s="167"/>
      <c r="W41" s="113">
        <v>50</v>
      </c>
      <c r="X41" s="113">
        <v>700</v>
      </c>
      <c r="Y41" s="28">
        <f t="shared" si="56"/>
        <v>448</v>
      </c>
      <c r="Z41" s="84"/>
      <c r="AA41" s="84"/>
      <c r="AB41" s="84"/>
      <c r="AC41" s="113">
        <v>50</v>
      </c>
      <c r="AD41" s="113">
        <v>700</v>
      </c>
      <c r="AE41" s="113">
        <v>448</v>
      </c>
      <c r="AF41" s="113"/>
      <c r="AG41" s="113"/>
      <c r="AH41" s="113"/>
      <c r="AI41" s="113">
        <v>50</v>
      </c>
      <c r="AJ41" s="113">
        <v>700</v>
      </c>
      <c r="AK41" s="113">
        <v>448</v>
      </c>
      <c r="AL41" s="113">
        <v>50</v>
      </c>
      <c r="AM41" s="113">
        <v>700</v>
      </c>
      <c r="AN41" s="113">
        <v>448</v>
      </c>
      <c r="AO41" s="113"/>
      <c r="AP41" s="113"/>
      <c r="AQ41" s="113"/>
    </row>
    <row r="42" spans="1:43" ht="20.100000000000001" customHeight="1" x14ac:dyDescent="0.5">
      <c r="A42" s="86">
        <v>8</v>
      </c>
      <c r="B42" s="1" t="s">
        <v>118</v>
      </c>
      <c r="C42" s="30">
        <v>0.64</v>
      </c>
      <c r="D42" s="1" t="s">
        <v>99</v>
      </c>
      <c r="E42" s="30">
        <v>200</v>
      </c>
      <c r="F42" s="1">
        <v>2800</v>
      </c>
      <c r="G42" s="29">
        <f t="shared" si="57"/>
        <v>1792</v>
      </c>
      <c r="H42" s="57">
        <v>315</v>
      </c>
      <c r="I42" s="113">
        <v>4410</v>
      </c>
      <c r="J42" s="115">
        <f>I42*C42</f>
        <v>2822.4</v>
      </c>
      <c r="K42" s="57">
        <v>565</v>
      </c>
      <c r="L42" s="57">
        <v>7910</v>
      </c>
      <c r="M42" s="58">
        <f t="shared" si="53"/>
        <v>5062.4000000000005</v>
      </c>
      <c r="N42" s="57">
        <v>340</v>
      </c>
      <c r="O42" s="57">
        <v>4760</v>
      </c>
      <c r="P42" s="57">
        <f t="shared" ref="P42:P43" si="59">O42*C42</f>
        <v>3046.4</v>
      </c>
      <c r="Q42" s="113">
        <v>525</v>
      </c>
      <c r="R42" s="113">
        <v>7350</v>
      </c>
      <c r="S42" s="112">
        <f t="shared" si="54"/>
        <v>4704</v>
      </c>
      <c r="T42" s="113"/>
      <c r="U42" s="113"/>
      <c r="V42" s="167">
        <f t="shared" si="55"/>
        <v>0</v>
      </c>
      <c r="W42" s="113"/>
      <c r="X42" s="113"/>
      <c r="Y42" s="28">
        <f t="shared" si="56"/>
        <v>0</v>
      </c>
      <c r="Z42" s="84">
        <v>285</v>
      </c>
      <c r="AA42" s="84">
        <v>3990</v>
      </c>
      <c r="AB42" s="84">
        <v>2553.6</v>
      </c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</row>
    <row r="43" spans="1:43" ht="20.100000000000001" customHeight="1" x14ac:dyDescent="0.5">
      <c r="A43" s="86">
        <v>9</v>
      </c>
      <c r="B43" s="1" t="s">
        <v>83</v>
      </c>
      <c r="C43" s="30">
        <v>1</v>
      </c>
      <c r="D43" s="1" t="s">
        <v>96</v>
      </c>
      <c r="E43" s="30"/>
      <c r="F43" s="1"/>
      <c r="G43" s="29">
        <f t="shared" si="57"/>
        <v>0</v>
      </c>
      <c r="H43" s="57">
        <v>30</v>
      </c>
      <c r="I43" s="113">
        <v>360</v>
      </c>
      <c r="J43" s="30">
        <f t="shared" si="58"/>
        <v>360</v>
      </c>
      <c r="K43" s="57"/>
      <c r="L43" s="57"/>
      <c r="M43" s="58">
        <f t="shared" si="53"/>
        <v>0</v>
      </c>
      <c r="N43" s="57">
        <v>40</v>
      </c>
      <c r="O43" s="57">
        <v>480</v>
      </c>
      <c r="P43" s="57">
        <f t="shared" si="59"/>
        <v>480</v>
      </c>
      <c r="Q43" s="113"/>
      <c r="R43" s="113"/>
      <c r="S43" s="112">
        <f t="shared" si="54"/>
        <v>0</v>
      </c>
      <c r="T43" s="113"/>
      <c r="U43" s="113"/>
      <c r="V43" s="167">
        <f t="shared" si="55"/>
        <v>0</v>
      </c>
      <c r="W43" s="113"/>
      <c r="X43" s="113"/>
      <c r="Y43" s="28">
        <f t="shared" si="56"/>
        <v>0</v>
      </c>
      <c r="Z43" s="84">
        <v>150</v>
      </c>
      <c r="AA43" s="84">
        <v>1800</v>
      </c>
      <c r="AB43" s="84">
        <v>1800</v>
      </c>
      <c r="AC43" s="113"/>
      <c r="AD43" s="113"/>
      <c r="AE43" s="113"/>
      <c r="AF43" s="113">
        <v>25</v>
      </c>
      <c r="AG43" s="113">
        <v>300</v>
      </c>
      <c r="AH43" s="113">
        <v>300</v>
      </c>
      <c r="AI43" s="113">
        <v>150</v>
      </c>
      <c r="AJ43" s="113">
        <v>1800</v>
      </c>
      <c r="AK43" s="113">
        <v>1800</v>
      </c>
      <c r="AL43" s="113">
        <v>230</v>
      </c>
      <c r="AM43" s="113">
        <v>2760</v>
      </c>
      <c r="AN43" s="113">
        <v>2760</v>
      </c>
      <c r="AO43" s="113"/>
      <c r="AP43" s="113"/>
      <c r="AQ43" s="113"/>
    </row>
    <row r="44" spans="1:43" ht="20.100000000000001" customHeight="1" x14ac:dyDescent="0.5">
      <c r="A44" s="86">
        <v>10</v>
      </c>
      <c r="B44" s="168" t="s">
        <v>152</v>
      </c>
      <c r="C44" s="169">
        <v>0.64</v>
      </c>
      <c r="D44" s="170" t="s">
        <v>151</v>
      </c>
      <c r="E44" s="171"/>
      <c r="F44" s="170"/>
      <c r="G44" s="84">
        <f t="shared" si="57"/>
        <v>0</v>
      </c>
      <c r="H44" s="57"/>
      <c r="I44" s="113"/>
      <c r="J44" s="171"/>
      <c r="K44" s="57"/>
      <c r="L44" s="57"/>
      <c r="M44" s="172">
        <f t="shared" si="53"/>
        <v>0</v>
      </c>
      <c r="N44" s="57"/>
      <c r="O44" s="57"/>
      <c r="P44" s="57"/>
      <c r="Q44" s="113"/>
      <c r="R44" s="113"/>
      <c r="S44" s="173">
        <f t="shared" si="54"/>
        <v>0</v>
      </c>
      <c r="T44" s="113"/>
      <c r="U44" s="113"/>
      <c r="V44" s="174">
        <f t="shared" si="55"/>
        <v>0</v>
      </c>
      <c r="W44" s="113"/>
      <c r="X44" s="113"/>
      <c r="Y44" s="57">
        <f t="shared" si="56"/>
        <v>0</v>
      </c>
      <c r="Z44" s="84"/>
      <c r="AA44" s="84"/>
      <c r="AB44" s="84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>
        <v>20</v>
      </c>
      <c r="AM44" s="113">
        <v>480</v>
      </c>
      <c r="AN44" s="113">
        <v>307.2</v>
      </c>
      <c r="AO44" s="113"/>
      <c r="AP44" s="113"/>
      <c r="AQ44" s="113"/>
    </row>
    <row r="45" spans="1:43" s="41" customFormat="1" ht="20.100000000000001" customHeight="1" x14ac:dyDescent="0.5">
      <c r="A45" s="24"/>
      <c r="B45" s="239" t="s">
        <v>10</v>
      </c>
      <c r="C45" s="240"/>
      <c r="D45" s="241"/>
      <c r="E45" s="22">
        <f>SUM(E36:E43)</f>
        <v>750</v>
      </c>
      <c r="F45" s="22">
        <f>SUM(F36:F43)</f>
        <v>10500</v>
      </c>
      <c r="G45" s="22">
        <f>SUM(G36:G44)</f>
        <v>6720</v>
      </c>
      <c r="H45" s="22">
        <f>SUM(H35:H43)</f>
        <v>1250</v>
      </c>
      <c r="I45" s="22">
        <f t="shared" ref="I45:J45" si="60">SUM(I35:I43)</f>
        <v>17230</v>
      </c>
      <c r="J45" s="22">
        <f t="shared" si="60"/>
        <v>11304.4</v>
      </c>
      <c r="K45" s="22">
        <f>SUM(K35:K43)</f>
        <v>1251</v>
      </c>
      <c r="L45" s="22">
        <f t="shared" ref="L45" si="61">SUM(L35:L43)</f>
        <v>17144</v>
      </c>
      <c r="M45" s="22">
        <f>SUM(M35:M44)</f>
        <v>11195.36</v>
      </c>
      <c r="N45" s="22">
        <f>SUM(N35:N43)</f>
        <v>1295</v>
      </c>
      <c r="O45" s="22">
        <f t="shared" ref="O45:P45" si="62">SUM(O35:O43)</f>
        <v>17402</v>
      </c>
      <c r="P45" s="22">
        <f t="shared" si="62"/>
        <v>11543.359999999999</v>
      </c>
      <c r="Q45" s="22">
        <f>SUM(Q35:Q43)</f>
        <v>1025.2857142857142</v>
      </c>
      <c r="R45" s="22">
        <f t="shared" ref="R45" si="63">SUM(R35:R43)</f>
        <v>14050</v>
      </c>
      <c r="S45" s="22">
        <f>SUM(S35:S44)</f>
        <v>9280</v>
      </c>
      <c r="T45" s="22">
        <f>SUM(T35:T43)</f>
        <v>1025</v>
      </c>
      <c r="U45" s="22">
        <f t="shared" ref="U45" si="64">SUM(U35:U43)</f>
        <v>14250</v>
      </c>
      <c r="V45" s="22">
        <f>SUM(V35:V44)</f>
        <v>9156</v>
      </c>
      <c r="W45" s="22">
        <f>SUM(W35:W42)</f>
        <v>1205</v>
      </c>
      <c r="X45" s="22">
        <f t="shared" ref="X45:Y45" si="65">SUM(X35:X42)</f>
        <v>16590</v>
      </c>
      <c r="Y45" s="22">
        <f t="shared" si="65"/>
        <v>10718.400000000001</v>
      </c>
      <c r="Z45" s="22">
        <f>SUM(Z35:Z43)</f>
        <v>1410</v>
      </c>
      <c r="AA45" s="22">
        <f t="shared" ref="AA45:AB45" si="66">SUM(AA35:AA43)</f>
        <v>18890</v>
      </c>
      <c r="AB45" s="22">
        <f t="shared" si="66"/>
        <v>13205.6</v>
      </c>
      <c r="AC45" s="22">
        <f>SUM(AC35:AC43)</f>
        <v>880</v>
      </c>
      <c r="AD45" s="22">
        <f t="shared" ref="AD45:AE45" si="67">SUM(AD35:AD43)</f>
        <v>12120</v>
      </c>
      <c r="AE45" s="22">
        <f t="shared" si="67"/>
        <v>7828.7999999999993</v>
      </c>
      <c r="AF45" s="22">
        <f>SUM(AF35:AF43)</f>
        <v>900</v>
      </c>
      <c r="AG45" s="22">
        <f t="shared" ref="AG45:AK45" si="68">SUM(AG35:AG43)</f>
        <v>12550</v>
      </c>
      <c r="AH45" s="22">
        <f t="shared" si="68"/>
        <v>8140</v>
      </c>
      <c r="AI45" s="22">
        <f t="shared" si="68"/>
        <v>1277</v>
      </c>
      <c r="AJ45" s="22">
        <f t="shared" si="68"/>
        <v>16978</v>
      </c>
      <c r="AK45" s="22">
        <f t="shared" si="68"/>
        <v>11729.92</v>
      </c>
      <c r="AL45" s="22">
        <f>SUM(AL35:AL44)</f>
        <v>1085</v>
      </c>
      <c r="AM45" s="22">
        <f t="shared" ref="AM45:AN45" si="69">SUM(AM35:AM44)</f>
        <v>15180</v>
      </c>
      <c r="AN45" s="22">
        <f t="shared" si="69"/>
        <v>10816.800000000001</v>
      </c>
      <c r="AO45" s="22">
        <f t="shared" ref="AO45:AQ45" si="70">SUM(AO37:AO37)</f>
        <v>0</v>
      </c>
      <c r="AP45" s="22">
        <f t="shared" si="70"/>
        <v>0</v>
      </c>
      <c r="AQ45" s="22">
        <f t="shared" si="70"/>
        <v>0</v>
      </c>
    </row>
    <row r="46" spans="1:43" ht="20.100000000000001" customHeight="1" x14ac:dyDescent="0.5">
      <c r="A46" s="39"/>
      <c r="B46" s="30"/>
      <c r="C46" s="30"/>
      <c r="D46" s="30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ht="20.100000000000001" customHeight="1" x14ac:dyDescent="0.5">
      <c r="A47" s="29">
        <v>1</v>
      </c>
      <c r="B47" s="30" t="s">
        <v>6</v>
      </c>
      <c r="C47" s="1">
        <v>0.7</v>
      </c>
      <c r="D47" s="1" t="s">
        <v>96</v>
      </c>
      <c r="E47" s="29">
        <v>2</v>
      </c>
      <c r="F47" s="29">
        <v>24</v>
      </c>
      <c r="G47" s="29">
        <v>16.799999999999997</v>
      </c>
      <c r="H47" s="29"/>
      <c r="I47" s="29"/>
      <c r="J47" s="29"/>
      <c r="K47" s="29"/>
      <c r="L47" s="29"/>
      <c r="M47" s="29">
        <f>L47*C47</f>
        <v>0</v>
      </c>
      <c r="N47" s="29">
        <v>10</v>
      </c>
      <c r="O47" s="29">
        <v>120</v>
      </c>
      <c r="P47" s="29">
        <f>O47*C47</f>
        <v>84</v>
      </c>
      <c r="Q47" s="29"/>
      <c r="R47" s="29"/>
      <c r="S47" s="29">
        <f>R47*C47</f>
        <v>0</v>
      </c>
      <c r="T47" s="29"/>
      <c r="U47" s="29"/>
      <c r="V47" s="29">
        <f>U47*C47</f>
        <v>0</v>
      </c>
      <c r="W47" s="29"/>
      <c r="X47" s="29"/>
      <c r="Y47" s="29">
        <f>X47*C47</f>
        <v>0</v>
      </c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</row>
    <row r="48" spans="1:43" ht="20.100000000000001" customHeight="1" x14ac:dyDescent="0.5">
      <c r="A48" s="29">
        <v>2</v>
      </c>
      <c r="B48" s="30" t="s">
        <v>5</v>
      </c>
      <c r="C48" s="1">
        <v>0.35</v>
      </c>
      <c r="D48" s="1" t="s">
        <v>98</v>
      </c>
      <c r="E48" s="29"/>
      <c r="F48" s="29"/>
      <c r="G48" s="29"/>
      <c r="H48" s="29"/>
      <c r="I48" s="29"/>
      <c r="J48" s="29"/>
      <c r="K48" s="29">
        <v>1</v>
      </c>
      <c r="L48" s="29">
        <v>24</v>
      </c>
      <c r="M48" s="29">
        <v>8.3999999999999986</v>
      </c>
      <c r="N48" s="29">
        <v>3</v>
      </c>
      <c r="O48" s="29">
        <v>72</v>
      </c>
      <c r="P48" s="29">
        <f>O48*C48</f>
        <v>25.2</v>
      </c>
      <c r="Q48" s="29"/>
      <c r="R48" s="29"/>
      <c r="S48" s="29">
        <f t="shared" ref="S48:S51" si="71">R48*C48</f>
        <v>0</v>
      </c>
      <c r="T48" s="29"/>
      <c r="U48" s="29"/>
      <c r="V48" s="29">
        <f t="shared" ref="V48:V51" si="72">U48*C48</f>
        <v>0</v>
      </c>
      <c r="W48" s="29"/>
      <c r="X48" s="29"/>
      <c r="Y48" s="29">
        <f t="shared" ref="Y48:Y50" si="73">X48*C48</f>
        <v>0</v>
      </c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</row>
    <row r="49" spans="1:43" ht="20.100000000000001" hidden="1" customHeight="1" x14ac:dyDescent="0.5">
      <c r="A49" s="29">
        <v>3</v>
      </c>
      <c r="B49" s="30" t="s">
        <v>4</v>
      </c>
      <c r="C49" s="1">
        <v>0.17499999999999999</v>
      </c>
      <c r="D49" s="1" t="s">
        <v>100</v>
      </c>
      <c r="E49" s="29"/>
      <c r="F49" s="29"/>
      <c r="G49" s="29"/>
      <c r="H49" s="29"/>
      <c r="I49" s="29"/>
      <c r="J49" s="29"/>
      <c r="K49" s="29"/>
      <c r="L49" s="29"/>
      <c r="M49" s="29">
        <f t="shared" ref="M49:M54" si="74">L49*C49</f>
        <v>0</v>
      </c>
      <c r="N49" s="29"/>
      <c r="O49" s="29"/>
      <c r="P49" s="29">
        <f t="shared" ref="P49:P51" si="75">O49*C49</f>
        <v>0</v>
      </c>
      <c r="Q49" s="29"/>
      <c r="R49" s="29"/>
      <c r="S49" s="29">
        <f t="shared" si="71"/>
        <v>0</v>
      </c>
      <c r="T49" s="29"/>
      <c r="U49" s="29"/>
      <c r="V49" s="29">
        <f t="shared" si="72"/>
        <v>0</v>
      </c>
      <c r="W49" s="29"/>
      <c r="X49" s="29"/>
      <c r="Y49" s="29">
        <f t="shared" si="73"/>
        <v>0</v>
      </c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</row>
    <row r="50" spans="1:43" ht="20.100000000000001" customHeight="1" x14ac:dyDescent="0.5">
      <c r="A50" s="29">
        <v>4</v>
      </c>
      <c r="B50" s="30" t="s">
        <v>3</v>
      </c>
      <c r="C50" s="1">
        <v>0.7</v>
      </c>
      <c r="D50" s="1" t="s">
        <v>96</v>
      </c>
      <c r="E50" s="29">
        <v>10</v>
      </c>
      <c r="F50" s="29">
        <v>120</v>
      </c>
      <c r="G50" s="29">
        <v>84</v>
      </c>
      <c r="H50" s="29"/>
      <c r="I50" s="29"/>
      <c r="J50" s="29"/>
      <c r="K50" s="29"/>
      <c r="L50" s="29"/>
      <c r="M50" s="29">
        <f t="shared" si="74"/>
        <v>0</v>
      </c>
      <c r="N50" s="29"/>
      <c r="O50" s="29"/>
      <c r="P50" s="29">
        <f t="shared" si="75"/>
        <v>0</v>
      </c>
      <c r="Q50" s="29"/>
      <c r="R50" s="29"/>
      <c r="S50" s="29">
        <f t="shared" si="71"/>
        <v>0</v>
      </c>
      <c r="T50" s="29">
        <v>10</v>
      </c>
      <c r="U50" s="29">
        <v>120</v>
      </c>
      <c r="V50" s="29">
        <f t="shared" si="72"/>
        <v>84</v>
      </c>
      <c r="W50" s="29"/>
      <c r="X50" s="29"/>
      <c r="Y50" s="29">
        <f t="shared" si="73"/>
        <v>0</v>
      </c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</row>
    <row r="51" spans="1:43" ht="20.100000000000001" customHeight="1" x14ac:dyDescent="0.5">
      <c r="A51" s="29">
        <v>5</v>
      </c>
      <c r="B51" s="30" t="s">
        <v>2</v>
      </c>
      <c r="C51" s="1">
        <v>0.35</v>
      </c>
      <c r="D51" s="1" t="s">
        <v>98</v>
      </c>
      <c r="E51" s="29"/>
      <c r="F51" s="29"/>
      <c r="G51" s="29">
        <f t="shared" ref="G51:G54" si="76">F51*C51</f>
        <v>0</v>
      </c>
      <c r="H51" s="29"/>
      <c r="I51" s="29"/>
      <c r="J51" s="29"/>
      <c r="K51" s="29">
        <v>1</v>
      </c>
      <c r="L51" s="29">
        <v>24</v>
      </c>
      <c r="M51" s="29">
        <v>8.3999999999999986</v>
      </c>
      <c r="N51" s="29"/>
      <c r="O51" s="29"/>
      <c r="P51" s="29">
        <f t="shared" si="75"/>
        <v>0</v>
      </c>
      <c r="Q51" s="29"/>
      <c r="R51" s="29"/>
      <c r="S51" s="29">
        <f t="shared" si="71"/>
        <v>0</v>
      </c>
      <c r="T51" s="29"/>
      <c r="U51" s="29"/>
      <c r="V51" s="29">
        <f t="shared" si="72"/>
        <v>0</v>
      </c>
      <c r="W51" s="29"/>
      <c r="X51" s="29"/>
      <c r="Y51" s="29">
        <f>X51*C51</f>
        <v>0</v>
      </c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</row>
    <row r="52" spans="1:43" ht="20.100000000000001" hidden="1" customHeight="1" x14ac:dyDescent="0.5">
      <c r="A52" s="29">
        <v>6</v>
      </c>
      <c r="B52" s="30" t="s">
        <v>1</v>
      </c>
      <c r="C52" s="1">
        <v>0.17499999999999999</v>
      </c>
      <c r="D52" s="1" t="s">
        <v>100</v>
      </c>
      <c r="E52" s="29"/>
      <c r="F52" s="29"/>
      <c r="G52" s="29">
        <f t="shared" si="76"/>
        <v>0</v>
      </c>
      <c r="H52" s="29"/>
      <c r="I52" s="29"/>
      <c r="J52" s="29"/>
      <c r="K52" s="29"/>
      <c r="L52" s="29"/>
      <c r="M52" s="29">
        <f t="shared" si="74"/>
        <v>0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</row>
    <row r="53" spans="1:43" ht="20.100000000000001" hidden="1" customHeight="1" x14ac:dyDescent="0.5">
      <c r="A53" s="29">
        <v>7</v>
      </c>
      <c r="B53" s="30" t="s">
        <v>0</v>
      </c>
      <c r="C53" s="1">
        <v>0.7</v>
      </c>
      <c r="D53" s="1" t="s">
        <v>96</v>
      </c>
      <c r="E53" s="29"/>
      <c r="F53" s="29"/>
      <c r="G53" s="29">
        <f t="shared" si="76"/>
        <v>0</v>
      </c>
      <c r="H53" s="29"/>
      <c r="I53" s="29"/>
      <c r="J53" s="29"/>
      <c r="K53" s="29"/>
      <c r="L53" s="29"/>
      <c r="M53" s="29">
        <f t="shared" si="74"/>
        <v>0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</row>
    <row r="54" spans="1:43" ht="20.100000000000001" hidden="1" customHeight="1" x14ac:dyDescent="0.5">
      <c r="A54" s="29">
        <v>8</v>
      </c>
      <c r="B54" s="30" t="s">
        <v>8</v>
      </c>
      <c r="C54" s="1">
        <v>0.7</v>
      </c>
      <c r="D54" s="1" t="s">
        <v>96</v>
      </c>
      <c r="E54" s="29"/>
      <c r="F54" s="29"/>
      <c r="G54" s="29">
        <f t="shared" si="76"/>
        <v>0</v>
      </c>
      <c r="H54" s="29"/>
      <c r="I54" s="29"/>
      <c r="J54" s="29"/>
      <c r="K54" s="29"/>
      <c r="L54" s="29"/>
      <c r="M54" s="29">
        <f t="shared" si="74"/>
        <v>0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</row>
    <row r="55" spans="1:43" ht="20.100000000000001" hidden="1" customHeight="1" x14ac:dyDescent="0.5">
      <c r="A55" s="29">
        <v>9</v>
      </c>
      <c r="B55" s="30" t="s">
        <v>7</v>
      </c>
      <c r="C55" s="1">
        <v>0.35</v>
      </c>
      <c r="D55" s="1" t="s">
        <v>98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</row>
    <row r="56" spans="1:43" ht="20.100000000000001" customHeight="1" x14ac:dyDescent="0.5">
      <c r="A56" s="46"/>
      <c r="B56" s="239" t="s">
        <v>10</v>
      </c>
      <c r="C56" s="240"/>
      <c r="D56" s="241"/>
      <c r="E56" s="22">
        <f t="shared" ref="E56:AN56" si="77">SUM(E47:E55)</f>
        <v>12</v>
      </c>
      <c r="F56" s="22">
        <f t="shared" si="77"/>
        <v>144</v>
      </c>
      <c r="G56" s="22">
        <f>SUM(G47:G55)</f>
        <v>100.8</v>
      </c>
      <c r="H56" s="22">
        <f t="shared" si="77"/>
        <v>0</v>
      </c>
      <c r="I56" s="22">
        <f t="shared" si="77"/>
        <v>0</v>
      </c>
      <c r="J56" s="22">
        <f t="shared" si="77"/>
        <v>0</v>
      </c>
      <c r="K56" s="22">
        <f t="shared" si="77"/>
        <v>2</v>
      </c>
      <c r="L56" s="22">
        <f t="shared" si="77"/>
        <v>48</v>
      </c>
      <c r="M56" s="22">
        <f t="shared" si="77"/>
        <v>16.799999999999997</v>
      </c>
      <c r="N56" s="22">
        <f t="shared" si="77"/>
        <v>13</v>
      </c>
      <c r="O56" s="22">
        <f t="shared" si="77"/>
        <v>192</v>
      </c>
      <c r="P56" s="22">
        <f t="shared" si="77"/>
        <v>109.2</v>
      </c>
      <c r="Q56" s="22">
        <f t="shared" si="77"/>
        <v>0</v>
      </c>
      <c r="R56" s="22">
        <f t="shared" si="77"/>
        <v>0</v>
      </c>
      <c r="S56" s="22">
        <f t="shared" si="77"/>
        <v>0</v>
      </c>
      <c r="T56" s="22">
        <f t="shared" si="77"/>
        <v>10</v>
      </c>
      <c r="U56" s="22">
        <f t="shared" si="77"/>
        <v>120</v>
      </c>
      <c r="V56" s="22">
        <f t="shared" si="77"/>
        <v>84</v>
      </c>
      <c r="W56" s="22">
        <f t="shared" si="77"/>
        <v>0</v>
      </c>
      <c r="X56" s="22">
        <f t="shared" si="77"/>
        <v>0</v>
      </c>
      <c r="Y56" s="22">
        <f t="shared" si="77"/>
        <v>0</v>
      </c>
      <c r="Z56" s="22">
        <f>SUM(Z47:Z55)</f>
        <v>0</v>
      </c>
      <c r="AA56" s="22">
        <f t="shared" si="77"/>
        <v>0</v>
      </c>
      <c r="AB56" s="22">
        <f t="shared" si="77"/>
        <v>0</v>
      </c>
      <c r="AC56" s="22">
        <f t="shared" si="77"/>
        <v>0</v>
      </c>
      <c r="AD56" s="22">
        <f t="shared" si="77"/>
        <v>0</v>
      </c>
      <c r="AE56" s="22">
        <f t="shared" si="77"/>
        <v>0</v>
      </c>
      <c r="AF56" s="22">
        <f t="shared" si="77"/>
        <v>0</v>
      </c>
      <c r="AG56" s="22">
        <f t="shared" si="77"/>
        <v>0</v>
      </c>
      <c r="AH56" s="22">
        <f t="shared" si="77"/>
        <v>0</v>
      </c>
      <c r="AI56" s="22">
        <f t="shared" si="77"/>
        <v>0</v>
      </c>
      <c r="AJ56" s="22">
        <f t="shared" si="77"/>
        <v>0</v>
      </c>
      <c r="AK56" s="22">
        <f t="shared" si="77"/>
        <v>0</v>
      </c>
      <c r="AL56" s="22">
        <f t="shared" si="77"/>
        <v>0</v>
      </c>
      <c r="AM56" s="22">
        <f t="shared" si="77"/>
        <v>0</v>
      </c>
      <c r="AN56" s="22">
        <f t="shared" si="77"/>
        <v>0</v>
      </c>
      <c r="AO56" s="22">
        <f t="shared" ref="AO56:AQ56" si="78">SUM(AO47:AO55)</f>
        <v>0</v>
      </c>
      <c r="AP56" s="22">
        <f t="shared" si="78"/>
        <v>0</v>
      </c>
      <c r="AQ56" s="22">
        <f t="shared" si="78"/>
        <v>0</v>
      </c>
    </row>
    <row r="57" spans="1:43" s="44" customFormat="1" ht="20.100000000000001" customHeight="1" x14ac:dyDescent="0.5">
      <c r="A57" s="45"/>
      <c r="B57" s="242" t="s">
        <v>49</v>
      </c>
      <c r="C57" s="243"/>
      <c r="D57" s="244"/>
      <c r="E57" s="38">
        <f t="shared" ref="E57:F57" si="79">E45+E56</f>
        <v>762</v>
      </c>
      <c r="F57" s="38">
        <f t="shared" si="79"/>
        <v>10644</v>
      </c>
      <c r="G57" s="38">
        <f>G45+G56</f>
        <v>6820.8</v>
      </c>
      <c r="H57" s="38">
        <f t="shared" ref="H57" si="80">H45+H56</f>
        <v>1250</v>
      </c>
      <c r="I57" s="38">
        <f>I45+I56</f>
        <v>17230</v>
      </c>
      <c r="J57" s="89">
        <f>J45+J56</f>
        <v>11304.4</v>
      </c>
      <c r="K57" s="38">
        <f t="shared" ref="K57:L57" si="81">K45+K56</f>
        <v>1253</v>
      </c>
      <c r="L57" s="38">
        <f t="shared" si="81"/>
        <v>17192</v>
      </c>
      <c r="M57" s="89">
        <f t="shared" ref="M57:O57" si="82">M45+M56</f>
        <v>11212.16</v>
      </c>
      <c r="N57" s="38">
        <f t="shared" si="82"/>
        <v>1308</v>
      </c>
      <c r="O57" s="38">
        <f t="shared" si="82"/>
        <v>17594</v>
      </c>
      <c r="P57" s="37">
        <f>P45+P56</f>
        <v>11652.56</v>
      </c>
      <c r="Q57" s="38">
        <f t="shared" ref="Q57" si="83">Q45+Q56</f>
        <v>1025.2857142857142</v>
      </c>
      <c r="R57" s="38"/>
      <c r="S57" s="37">
        <f t="shared" ref="S57:U57" si="84">S45+S56</f>
        <v>9280</v>
      </c>
      <c r="T57" s="38">
        <f t="shared" si="84"/>
        <v>1035</v>
      </c>
      <c r="U57" s="38">
        <f t="shared" si="84"/>
        <v>14370</v>
      </c>
      <c r="V57" s="37">
        <f t="shared" ref="V57:X57" si="85">V45+V56</f>
        <v>9240</v>
      </c>
      <c r="W57" s="38">
        <f t="shared" si="85"/>
        <v>1205</v>
      </c>
      <c r="X57" s="38">
        <f t="shared" si="85"/>
        <v>16590</v>
      </c>
      <c r="Y57" s="37">
        <f t="shared" ref="Y57:Z57" si="86">Y45+Y56</f>
        <v>10718.400000000001</v>
      </c>
      <c r="Z57" s="38">
        <f t="shared" si="86"/>
        <v>1410</v>
      </c>
      <c r="AA57" s="38"/>
      <c r="AB57" s="37">
        <f>AB45+AB56</f>
        <v>13205.6</v>
      </c>
      <c r="AC57" s="38">
        <f t="shared" ref="AC57" si="87">AC45+AC56</f>
        <v>880</v>
      </c>
      <c r="AD57" s="38"/>
      <c r="AE57" s="37">
        <f t="shared" ref="AE57:AF57" si="88">AE45+AE56</f>
        <v>7828.7999999999993</v>
      </c>
      <c r="AF57" s="38">
        <f t="shared" si="88"/>
        <v>900</v>
      </c>
      <c r="AG57" s="38"/>
      <c r="AH57" s="37">
        <f t="shared" ref="AH57:AI57" si="89">AH45+AH56</f>
        <v>8140</v>
      </c>
      <c r="AI57" s="38">
        <f t="shared" si="89"/>
        <v>1277</v>
      </c>
      <c r="AJ57" s="38"/>
      <c r="AK57" s="37">
        <f t="shared" ref="AK57:AL57" si="90">AK45+AK56</f>
        <v>11729.92</v>
      </c>
      <c r="AL57" s="38">
        <f t="shared" si="90"/>
        <v>1085</v>
      </c>
      <c r="AM57" s="38"/>
      <c r="AN57" s="37">
        <f t="shared" ref="AN57:AO57" si="91">AN45+AN56</f>
        <v>10816.800000000001</v>
      </c>
      <c r="AO57" s="38">
        <f t="shared" si="91"/>
        <v>0</v>
      </c>
      <c r="AP57" s="38"/>
      <c r="AQ57" s="37">
        <f t="shared" ref="AQ57" si="92">AQ45+AQ56</f>
        <v>0</v>
      </c>
    </row>
    <row r="59" spans="1:43" x14ac:dyDescent="0.5">
      <c r="F59" s="53"/>
      <c r="G59" s="53"/>
    </row>
    <row r="60" spans="1:43" ht="25.15" customHeight="1" x14ac:dyDescent="0.5">
      <c r="B60" s="41" t="s">
        <v>158</v>
      </c>
    </row>
    <row r="61" spans="1:43" ht="15" customHeight="1" x14ac:dyDescent="0.5"/>
    <row r="62" spans="1:43" ht="42.75" customHeight="1" x14ac:dyDescent="0.5">
      <c r="A62" s="245" t="s">
        <v>52</v>
      </c>
      <c r="B62" s="245" t="s">
        <v>51</v>
      </c>
      <c r="C62" s="247" t="s">
        <v>117</v>
      </c>
      <c r="D62" s="247" t="s">
        <v>95</v>
      </c>
      <c r="E62" s="236" t="s">
        <v>114</v>
      </c>
      <c r="F62" s="237"/>
      <c r="G62" s="238"/>
      <c r="H62" s="236" t="s">
        <v>58</v>
      </c>
      <c r="I62" s="237"/>
      <c r="J62" s="238"/>
      <c r="K62" s="236" t="s">
        <v>59</v>
      </c>
      <c r="L62" s="237"/>
      <c r="M62" s="238"/>
      <c r="N62" s="236" t="s">
        <v>60</v>
      </c>
      <c r="O62" s="237"/>
      <c r="P62" s="238"/>
      <c r="Q62" s="236" t="s">
        <v>61</v>
      </c>
      <c r="R62" s="237"/>
      <c r="S62" s="238"/>
      <c r="T62" s="236" t="s">
        <v>62</v>
      </c>
      <c r="U62" s="237"/>
      <c r="V62" s="238"/>
      <c r="W62" s="236" t="s">
        <v>63</v>
      </c>
      <c r="X62" s="237"/>
      <c r="Y62" s="238"/>
      <c r="Z62" s="236" t="s">
        <v>64</v>
      </c>
      <c r="AA62" s="237"/>
      <c r="AB62" s="238"/>
      <c r="AC62" s="236" t="s">
        <v>65</v>
      </c>
      <c r="AD62" s="237"/>
      <c r="AE62" s="238"/>
      <c r="AF62" s="236" t="s">
        <v>18</v>
      </c>
      <c r="AG62" s="237"/>
      <c r="AH62" s="238"/>
      <c r="AI62" s="236" t="s">
        <v>17</v>
      </c>
      <c r="AJ62" s="237"/>
      <c r="AK62" s="238"/>
      <c r="AL62" s="236" t="s">
        <v>16</v>
      </c>
      <c r="AM62" s="237"/>
      <c r="AN62" s="238"/>
      <c r="AO62" s="236" t="s">
        <v>10</v>
      </c>
      <c r="AP62" s="237"/>
      <c r="AQ62" s="238"/>
    </row>
    <row r="63" spans="1:43" ht="25.15" customHeight="1" x14ac:dyDescent="0.5">
      <c r="A63" s="246"/>
      <c r="B63" s="246"/>
      <c r="C63" s="248"/>
      <c r="D63" s="248"/>
      <c r="E63" s="40" t="s">
        <v>50</v>
      </c>
      <c r="F63" s="40" t="s">
        <v>56</v>
      </c>
      <c r="G63" s="40" t="s">
        <v>93</v>
      </c>
      <c r="H63" s="40" t="s">
        <v>50</v>
      </c>
      <c r="I63" s="40" t="s">
        <v>56</v>
      </c>
      <c r="J63" s="40" t="s">
        <v>57</v>
      </c>
      <c r="K63" s="40" t="s">
        <v>50</v>
      </c>
      <c r="L63" s="40" t="s">
        <v>56</v>
      </c>
      <c r="M63" s="40" t="s">
        <v>57</v>
      </c>
      <c r="N63" s="40" t="s">
        <v>50</v>
      </c>
      <c r="O63" s="40" t="s">
        <v>56</v>
      </c>
      <c r="P63" s="40" t="s">
        <v>57</v>
      </c>
      <c r="Q63" s="40" t="s">
        <v>50</v>
      </c>
      <c r="R63" s="40" t="s">
        <v>56</v>
      </c>
      <c r="S63" s="40" t="s">
        <v>57</v>
      </c>
      <c r="T63" s="40" t="s">
        <v>50</v>
      </c>
      <c r="U63" s="40" t="s">
        <v>56</v>
      </c>
      <c r="V63" s="40" t="s">
        <v>57</v>
      </c>
      <c r="W63" s="40" t="s">
        <v>50</v>
      </c>
      <c r="X63" s="40" t="s">
        <v>56</v>
      </c>
      <c r="Y63" s="40" t="s">
        <v>57</v>
      </c>
      <c r="Z63" s="40" t="s">
        <v>50</v>
      </c>
      <c r="AA63" s="40" t="s">
        <v>56</v>
      </c>
      <c r="AB63" s="40" t="s">
        <v>57</v>
      </c>
      <c r="AC63" s="40" t="s">
        <v>50</v>
      </c>
      <c r="AD63" s="40" t="s">
        <v>56</v>
      </c>
      <c r="AE63" s="40" t="s">
        <v>57</v>
      </c>
      <c r="AF63" s="40" t="s">
        <v>50</v>
      </c>
      <c r="AG63" s="40" t="s">
        <v>56</v>
      </c>
      <c r="AH63" s="40" t="s">
        <v>57</v>
      </c>
      <c r="AI63" s="40" t="s">
        <v>50</v>
      </c>
      <c r="AJ63" s="40" t="s">
        <v>56</v>
      </c>
      <c r="AK63" s="40" t="s">
        <v>57</v>
      </c>
      <c r="AL63" s="40" t="s">
        <v>50</v>
      </c>
      <c r="AM63" s="40" t="s">
        <v>56</v>
      </c>
      <c r="AN63" s="40" t="s">
        <v>57</v>
      </c>
      <c r="AO63" s="40" t="s">
        <v>50</v>
      </c>
      <c r="AP63" s="40" t="s">
        <v>56</v>
      </c>
      <c r="AQ63" s="40" t="s">
        <v>57</v>
      </c>
    </row>
    <row r="64" spans="1:43" ht="20.100000000000001" customHeight="1" x14ac:dyDescent="0.5">
      <c r="A64" s="92">
        <v>1</v>
      </c>
      <c r="B64" s="91" t="s">
        <v>67</v>
      </c>
      <c r="C64" s="88">
        <v>0.7</v>
      </c>
      <c r="D64" s="88" t="s">
        <v>96</v>
      </c>
      <c r="E64" s="34">
        <v>260</v>
      </c>
      <c r="F64" s="34">
        <v>3120</v>
      </c>
      <c r="G64" s="34">
        <v>2184</v>
      </c>
      <c r="H64" s="34">
        <v>100</v>
      </c>
      <c r="I64" s="34">
        <v>1200</v>
      </c>
      <c r="J64" s="34">
        <v>840</v>
      </c>
      <c r="K64" s="34"/>
      <c r="L64" s="34"/>
      <c r="M64" s="58"/>
      <c r="N64" s="57"/>
      <c r="O64" s="57"/>
      <c r="P64" s="57"/>
      <c r="Q64" s="30"/>
      <c r="R64" s="30"/>
      <c r="S64" s="112"/>
      <c r="T64" s="30"/>
      <c r="U64" s="30"/>
      <c r="V64" s="167"/>
      <c r="W64" s="30"/>
      <c r="X64" s="30"/>
      <c r="Y64" s="28"/>
      <c r="Z64" s="34"/>
      <c r="AA64" s="34"/>
      <c r="AB64" s="34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</row>
    <row r="65" spans="1:43" ht="20.100000000000001" customHeight="1" x14ac:dyDescent="0.5">
      <c r="A65" s="86">
        <v>2</v>
      </c>
      <c r="B65" s="1" t="s">
        <v>118</v>
      </c>
      <c r="C65" s="1">
        <v>0.64</v>
      </c>
      <c r="D65" s="1" t="s">
        <v>99</v>
      </c>
      <c r="E65" s="28">
        <v>235</v>
      </c>
      <c r="F65" s="28">
        <v>3290</v>
      </c>
      <c r="G65" s="28">
        <v>2105.6</v>
      </c>
      <c r="H65" s="30">
        <v>200</v>
      </c>
      <c r="I65" s="30">
        <v>2800</v>
      </c>
      <c r="J65" s="30">
        <v>1792</v>
      </c>
      <c r="K65" s="34"/>
      <c r="L65" s="34"/>
      <c r="M65" s="58"/>
      <c r="N65" s="28"/>
      <c r="O65" s="28"/>
      <c r="P65" s="57"/>
      <c r="Q65" s="30"/>
      <c r="R65" s="30"/>
      <c r="S65" s="112"/>
      <c r="T65" s="30"/>
      <c r="U65" s="30"/>
      <c r="V65" s="167"/>
      <c r="W65" s="30"/>
      <c r="X65" s="30"/>
      <c r="Y65" s="28"/>
      <c r="Z65" s="34"/>
      <c r="AA65" s="34"/>
      <c r="AB65" s="34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</row>
    <row r="66" spans="1:43" ht="20.100000000000001" customHeight="1" x14ac:dyDescent="0.5">
      <c r="A66" s="86">
        <v>3</v>
      </c>
      <c r="B66" s="1" t="s">
        <v>88</v>
      </c>
      <c r="C66" s="30">
        <v>0.64</v>
      </c>
      <c r="D66" s="30" t="s">
        <v>99</v>
      </c>
      <c r="E66" s="28"/>
      <c r="F66" s="28"/>
      <c r="G66" s="29"/>
      <c r="H66" s="28"/>
      <c r="I66" s="95"/>
      <c r="J66" s="30"/>
      <c r="K66" s="28"/>
      <c r="L66" s="28"/>
      <c r="M66" s="58"/>
      <c r="N66" s="28"/>
      <c r="O66" s="28"/>
      <c r="P66" s="57"/>
      <c r="Q66" s="95"/>
      <c r="R66" s="95"/>
      <c r="S66" s="112"/>
      <c r="T66" s="95"/>
      <c r="U66" s="95"/>
      <c r="V66" s="167"/>
      <c r="W66" s="95"/>
      <c r="X66" s="95"/>
      <c r="Y66" s="28"/>
      <c r="Z66" s="29"/>
      <c r="AA66" s="29"/>
      <c r="AB66" s="29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</row>
    <row r="67" spans="1:43" ht="20.100000000000001" customHeight="1" x14ac:dyDescent="0.5">
      <c r="A67" s="86">
        <v>4</v>
      </c>
      <c r="B67" s="1" t="s">
        <v>88</v>
      </c>
      <c r="C67" s="30">
        <v>0.64</v>
      </c>
      <c r="D67" s="30" t="s">
        <v>151</v>
      </c>
      <c r="E67" s="57"/>
      <c r="F67" s="57"/>
      <c r="G67" s="29"/>
      <c r="H67" s="57"/>
      <c r="I67" s="113"/>
      <c r="J67" s="30"/>
      <c r="K67" s="57"/>
      <c r="L67" s="57"/>
      <c r="M67" s="58"/>
      <c r="N67" s="28"/>
      <c r="O67" s="28"/>
      <c r="P67" s="57"/>
      <c r="Q67" s="113"/>
      <c r="R67" s="113"/>
      <c r="S67" s="112"/>
      <c r="T67" s="113"/>
      <c r="U67" s="113"/>
      <c r="V67" s="167"/>
      <c r="W67" s="113"/>
      <c r="X67" s="113"/>
      <c r="Y67" s="28"/>
      <c r="Z67" s="84"/>
      <c r="AA67" s="84"/>
      <c r="AB67" s="84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</row>
    <row r="68" spans="1:43" ht="20.100000000000001" customHeight="1" x14ac:dyDescent="0.5">
      <c r="A68" s="86">
        <v>5</v>
      </c>
      <c r="B68" s="1" t="s">
        <v>69</v>
      </c>
      <c r="C68" s="30">
        <v>1</v>
      </c>
      <c r="D68" s="30" t="s">
        <v>96</v>
      </c>
      <c r="E68" s="57">
        <v>50</v>
      </c>
      <c r="F68" s="57">
        <v>600</v>
      </c>
      <c r="G68" s="29">
        <v>600</v>
      </c>
      <c r="H68" s="57"/>
      <c r="I68" s="113"/>
      <c r="J68" s="30"/>
      <c r="K68" s="57"/>
      <c r="L68" s="57"/>
      <c r="M68" s="58"/>
      <c r="N68" s="28"/>
      <c r="O68" s="28"/>
      <c r="P68" s="57"/>
      <c r="Q68" s="113"/>
      <c r="R68" s="113"/>
      <c r="S68" s="112"/>
      <c r="T68" s="113"/>
      <c r="U68" s="113"/>
      <c r="V68" s="167"/>
      <c r="W68" s="113"/>
      <c r="X68" s="113"/>
      <c r="Y68" s="28"/>
      <c r="Z68" s="84"/>
      <c r="AA68" s="84"/>
      <c r="AB68" s="84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</row>
    <row r="69" spans="1:43" ht="20.100000000000001" customHeight="1" x14ac:dyDescent="0.5">
      <c r="A69" s="86">
        <v>6</v>
      </c>
      <c r="B69" s="1" t="s">
        <v>80</v>
      </c>
      <c r="C69" s="30">
        <v>0.64</v>
      </c>
      <c r="D69" s="1" t="s">
        <v>99</v>
      </c>
      <c r="E69" s="30"/>
      <c r="F69" s="1"/>
      <c r="G69" s="29"/>
      <c r="H69" s="57">
        <v>100</v>
      </c>
      <c r="I69" s="113">
        <v>1400</v>
      </c>
      <c r="J69" s="30">
        <v>896</v>
      </c>
      <c r="K69" s="57"/>
      <c r="L69" s="57"/>
      <c r="M69" s="58"/>
      <c r="N69" s="57"/>
      <c r="O69" s="57"/>
      <c r="P69" s="57"/>
      <c r="Q69" s="113"/>
      <c r="R69" s="113"/>
      <c r="S69" s="112"/>
      <c r="T69" s="113"/>
      <c r="U69" s="113"/>
      <c r="V69" s="167"/>
      <c r="W69" s="113"/>
      <c r="X69" s="113"/>
      <c r="Y69" s="28"/>
      <c r="Z69" s="84"/>
      <c r="AA69" s="84"/>
      <c r="AB69" s="84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</row>
    <row r="70" spans="1:43" ht="20.100000000000001" customHeight="1" x14ac:dyDescent="0.5">
      <c r="A70" s="86">
        <v>7</v>
      </c>
      <c r="B70" s="1" t="s">
        <v>148</v>
      </c>
      <c r="C70" s="30">
        <v>0.64</v>
      </c>
      <c r="D70" s="1"/>
      <c r="E70" s="30"/>
      <c r="F70" s="1"/>
      <c r="G70" s="29"/>
      <c r="H70" s="57"/>
      <c r="I70" s="113"/>
      <c r="J70" s="30"/>
      <c r="K70" s="57"/>
      <c r="L70" s="57"/>
      <c r="M70" s="58"/>
      <c r="N70" s="57"/>
      <c r="O70" s="57"/>
      <c r="P70" s="57"/>
      <c r="Q70" s="113"/>
      <c r="R70" s="113"/>
      <c r="S70" s="112"/>
      <c r="T70" s="113"/>
      <c r="U70" s="113"/>
      <c r="V70" s="167"/>
      <c r="W70" s="113"/>
      <c r="X70" s="113"/>
      <c r="Y70" s="28"/>
      <c r="Z70" s="84"/>
      <c r="AA70" s="84"/>
      <c r="AB70" s="84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</row>
    <row r="71" spans="1:43" ht="20.100000000000001" customHeight="1" x14ac:dyDescent="0.5">
      <c r="A71" s="86">
        <v>8</v>
      </c>
      <c r="B71" s="1" t="s">
        <v>118</v>
      </c>
      <c r="C71" s="30">
        <v>0.64</v>
      </c>
      <c r="D71" s="1" t="s">
        <v>99</v>
      </c>
      <c r="E71" s="30"/>
      <c r="F71" s="1"/>
      <c r="G71" s="29"/>
      <c r="H71" s="57"/>
      <c r="I71" s="113"/>
      <c r="J71" s="115"/>
      <c r="K71" s="57"/>
      <c r="L71" s="57"/>
      <c r="M71" s="58"/>
      <c r="N71" s="57"/>
      <c r="O71" s="57"/>
      <c r="P71" s="57"/>
      <c r="Q71" s="113"/>
      <c r="R71" s="113"/>
      <c r="S71" s="112"/>
      <c r="T71" s="113"/>
      <c r="U71" s="113"/>
      <c r="V71" s="167"/>
      <c r="W71" s="113"/>
      <c r="X71" s="113"/>
      <c r="Y71" s="28"/>
      <c r="Z71" s="84"/>
      <c r="AA71" s="84"/>
      <c r="AB71" s="84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</row>
    <row r="72" spans="1:43" ht="20.100000000000001" customHeight="1" x14ac:dyDescent="0.5">
      <c r="A72" s="86">
        <v>9</v>
      </c>
      <c r="B72" s="1" t="s">
        <v>83</v>
      </c>
      <c r="C72" s="30">
        <v>1</v>
      </c>
      <c r="D72" s="1" t="s">
        <v>96</v>
      </c>
      <c r="E72" s="30"/>
      <c r="F72" s="1"/>
      <c r="G72" s="29"/>
      <c r="H72" s="57"/>
      <c r="I72" s="113"/>
      <c r="J72" s="30"/>
      <c r="K72" s="57"/>
      <c r="L72" s="57"/>
      <c r="M72" s="58"/>
      <c r="N72" s="57"/>
      <c r="O72" s="57"/>
      <c r="P72" s="57"/>
      <c r="Q72" s="113"/>
      <c r="R72" s="113"/>
      <c r="S72" s="112"/>
      <c r="T72" s="113"/>
      <c r="U72" s="113"/>
      <c r="V72" s="167"/>
      <c r="W72" s="113"/>
      <c r="X72" s="113"/>
      <c r="Y72" s="28"/>
      <c r="Z72" s="84"/>
      <c r="AA72" s="84"/>
      <c r="AB72" s="84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</row>
    <row r="73" spans="1:43" ht="20.100000000000001" customHeight="1" x14ac:dyDescent="0.5">
      <c r="A73" s="86">
        <v>10</v>
      </c>
      <c r="B73" s="168" t="s">
        <v>152</v>
      </c>
      <c r="C73" s="169">
        <v>0.64</v>
      </c>
      <c r="D73" s="170" t="s">
        <v>151</v>
      </c>
      <c r="E73" s="171"/>
      <c r="F73" s="170"/>
      <c r="G73" s="84"/>
      <c r="H73" s="57"/>
      <c r="I73" s="113"/>
      <c r="J73" s="171"/>
      <c r="K73" s="57"/>
      <c r="L73" s="57"/>
      <c r="M73" s="172"/>
      <c r="N73" s="57"/>
      <c r="O73" s="57"/>
      <c r="P73" s="57"/>
      <c r="Q73" s="113"/>
      <c r="R73" s="113"/>
      <c r="S73" s="173"/>
      <c r="T73" s="113"/>
      <c r="U73" s="113"/>
      <c r="V73" s="174"/>
      <c r="W73" s="113"/>
      <c r="X73" s="113"/>
      <c r="Y73" s="57"/>
      <c r="Z73" s="84"/>
      <c r="AA73" s="84"/>
      <c r="AB73" s="84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</row>
    <row r="74" spans="1:43" ht="20.100000000000001" customHeight="1" x14ac:dyDescent="0.5">
      <c r="A74" s="86">
        <v>11</v>
      </c>
      <c r="B74" s="168" t="s">
        <v>148</v>
      </c>
      <c r="C74" s="169">
        <v>0.64</v>
      </c>
      <c r="D74" s="170" t="s">
        <v>119</v>
      </c>
      <c r="E74" s="171">
        <v>100</v>
      </c>
      <c r="F74" s="170">
        <v>1400</v>
      </c>
      <c r="G74" s="84">
        <v>896</v>
      </c>
      <c r="H74" s="57"/>
      <c r="I74" s="113"/>
      <c r="J74" s="171"/>
      <c r="K74" s="57"/>
      <c r="L74" s="57"/>
      <c r="M74" s="172"/>
      <c r="N74" s="57"/>
      <c r="O74" s="57"/>
      <c r="P74" s="57"/>
      <c r="Q74" s="113"/>
      <c r="R74" s="113"/>
      <c r="S74" s="173"/>
      <c r="T74" s="113"/>
      <c r="U74" s="113"/>
      <c r="V74" s="174"/>
      <c r="W74" s="113"/>
      <c r="X74" s="113"/>
      <c r="Y74" s="57"/>
      <c r="Z74" s="84"/>
      <c r="AA74" s="84"/>
      <c r="AB74" s="84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</row>
    <row r="75" spans="1:43" s="41" customFormat="1" ht="20.100000000000001" customHeight="1" x14ac:dyDescent="0.5">
      <c r="A75" s="24"/>
      <c r="B75" s="239" t="s">
        <v>10</v>
      </c>
      <c r="C75" s="240"/>
      <c r="D75" s="241"/>
      <c r="E75" s="22">
        <f>SUM(E64:E74)</f>
        <v>645</v>
      </c>
      <c r="F75" s="22">
        <f t="shared" ref="F75:L75" si="93">SUM(F64:F74)</f>
        <v>8410</v>
      </c>
      <c r="G75" s="22">
        <f t="shared" si="93"/>
        <v>5785.6</v>
      </c>
      <c r="H75" s="22">
        <f t="shared" si="93"/>
        <v>400</v>
      </c>
      <c r="I75" s="22">
        <f t="shared" si="93"/>
        <v>5400</v>
      </c>
      <c r="J75" s="22">
        <f t="shared" si="93"/>
        <v>3528</v>
      </c>
      <c r="K75" s="22">
        <f t="shared" si="93"/>
        <v>0</v>
      </c>
      <c r="L75" s="22">
        <f t="shared" si="93"/>
        <v>0</v>
      </c>
      <c r="M75" s="22">
        <f>SUM(M64:M73)</f>
        <v>0</v>
      </c>
      <c r="N75" s="22">
        <f>SUM(N64:N72)</f>
        <v>0</v>
      </c>
      <c r="O75" s="22">
        <f t="shared" ref="O75:P75" si="94">SUM(O64:O72)</f>
        <v>0</v>
      </c>
      <c r="P75" s="22">
        <f t="shared" si="94"/>
        <v>0</v>
      </c>
      <c r="Q75" s="22">
        <f>SUM(Q64:Q72)</f>
        <v>0</v>
      </c>
      <c r="R75" s="22">
        <f t="shared" ref="R75" si="95">SUM(R64:R72)</f>
        <v>0</v>
      </c>
      <c r="S75" s="22">
        <f>SUM(S64:S73)</f>
        <v>0</v>
      </c>
      <c r="T75" s="22">
        <f>SUM(T64:T72)</f>
        <v>0</v>
      </c>
      <c r="U75" s="22">
        <f t="shared" ref="U75" si="96">SUM(U64:U72)</f>
        <v>0</v>
      </c>
      <c r="V75" s="22">
        <f>SUM(V64:V73)</f>
        <v>0</v>
      </c>
      <c r="W75" s="22">
        <f>SUM(W64:W71)</f>
        <v>0</v>
      </c>
      <c r="X75" s="22">
        <f t="shared" ref="X75:Y75" si="97">SUM(X64:X71)</f>
        <v>0</v>
      </c>
      <c r="Y75" s="22">
        <f t="shared" si="97"/>
        <v>0</v>
      </c>
      <c r="Z75" s="22">
        <f>SUM(Z64:Z72)</f>
        <v>0</v>
      </c>
      <c r="AA75" s="22">
        <f t="shared" ref="AA75:AB75" si="98">SUM(AA64:AA72)</f>
        <v>0</v>
      </c>
      <c r="AB75" s="22">
        <f t="shared" si="98"/>
        <v>0</v>
      </c>
      <c r="AC75" s="22">
        <f>SUM(AC64:AC72)</f>
        <v>0</v>
      </c>
      <c r="AD75" s="22">
        <f t="shared" ref="AD75:AE75" si="99">SUM(AD64:AD72)</f>
        <v>0</v>
      </c>
      <c r="AE75" s="22">
        <f t="shared" si="99"/>
        <v>0</v>
      </c>
      <c r="AF75" s="22">
        <f>SUM(AF64:AF72)</f>
        <v>0</v>
      </c>
      <c r="AG75" s="22">
        <f t="shared" ref="AG75:AK75" si="100">SUM(AG64:AG72)</f>
        <v>0</v>
      </c>
      <c r="AH75" s="22">
        <f t="shared" si="100"/>
        <v>0</v>
      </c>
      <c r="AI75" s="22">
        <f t="shared" si="100"/>
        <v>0</v>
      </c>
      <c r="AJ75" s="22">
        <f t="shared" si="100"/>
        <v>0</v>
      </c>
      <c r="AK75" s="22">
        <f t="shared" si="100"/>
        <v>0</v>
      </c>
      <c r="AL75" s="22">
        <f>SUM(AL64:AL73)</f>
        <v>0</v>
      </c>
      <c r="AM75" s="22">
        <f t="shared" ref="AM75:AN75" si="101">SUM(AM64:AM73)</f>
        <v>0</v>
      </c>
      <c r="AN75" s="22">
        <f t="shared" si="101"/>
        <v>0</v>
      </c>
      <c r="AO75" s="22">
        <f t="shared" ref="AO75:AQ75" si="102">SUM(AO66:AO66)</f>
        <v>0</v>
      </c>
      <c r="AP75" s="22">
        <f t="shared" si="102"/>
        <v>0</v>
      </c>
      <c r="AQ75" s="22">
        <f t="shared" si="102"/>
        <v>0</v>
      </c>
    </row>
    <row r="76" spans="1:43" ht="20.100000000000001" customHeight="1" x14ac:dyDescent="0.5">
      <c r="A76" s="39"/>
      <c r="B76" s="30"/>
      <c r="C76" s="30"/>
      <c r="D76" s="30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</row>
    <row r="77" spans="1:43" ht="20.100000000000001" customHeight="1" x14ac:dyDescent="0.5">
      <c r="A77" s="29">
        <v>1</v>
      </c>
      <c r="B77" s="30" t="s">
        <v>6</v>
      </c>
      <c r="C77" s="1">
        <v>0.7</v>
      </c>
      <c r="D77" s="1" t="s">
        <v>96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</row>
    <row r="78" spans="1:43" ht="20.100000000000001" customHeight="1" x14ac:dyDescent="0.5">
      <c r="A78" s="29">
        <v>2</v>
      </c>
      <c r="B78" s="30" t="s">
        <v>5</v>
      </c>
      <c r="C78" s="1">
        <v>0.35</v>
      </c>
      <c r="D78" s="1" t="s">
        <v>98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</row>
    <row r="79" spans="1:43" ht="20.100000000000001" hidden="1" customHeight="1" x14ac:dyDescent="0.5">
      <c r="A79" s="29">
        <v>3</v>
      </c>
      <c r="B79" s="30" t="s">
        <v>4</v>
      </c>
      <c r="C79" s="1">
        <v>0.17499999999999999</v>
      </c>
      <c r="D79" s="1" t="s">
        <v>100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</row>
    <row r="80" spans="1:43" ht="20.100000000000001" customHeight="1" x14ac:dyDescent="0.5">
      <c r="A80" s="29">
        <v>4</v>
      </c>
      <c r="B80" s="30" t="s">
        <v>3</v>
      </c>
      <c r="C80" s="1">
        <v>0.7</v>
      </c>
      <c r="D80" s="1" t="s">
        <v>96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</row>
    <row r="81" spans="1:43" ht="20.100000000000001" customHeight="1" x14ac:dyDescent="0.5">
      <c r="A81" s="29">
        <v>5</v>
      </c>
      <c r="B81" s="30" t="s">
        <v>2</v>
      </c>
      <c r="C81" s="1">
        <v>0.35</v>
      </c>
      <c r="D81" s="1" t="s">
        <v>98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</row>
    <row r="82" spans="1:43" ht="20.100000000000001" hidden="1" customHeight="1" x14ac:dyDescent="0.5">
      <c r="A82" s="29">
        <v>6</v>
      </c>
      <c r="B82" s="30" t="s">
        <v>1</v>
      </c>
      <c r="C82" s="1">
        <v>0.17499999999999999</v>
      </c>
      <c r="D82" s="1" t="s">
        <v>100</v>
      </c>
      <c r="E82" s="29"/>
      <c r="F82" s="29"/>
      <c r="G82" s="29">
        <f t="shared" ref="G82:G84" si="103">F82*C82</f>
        <v>0</v>
      </c>
      <c r="H82" s="29"/>
      <c r="I82" s="29"/>
      <c r="J82" s="29"/>
      <c r="K82" s="29"/>
      <c r="L82" s="29"/>
      <c r="M82" s="29">
        <f t="shared" ref="M82:M84" si="104">L82*C82</f>
        <v>0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</row>
    <row r="83" spans="1:43" ht="20.100000000000001" hidden="1" customHeight="1" x14ac:dyDescent="0.5">
      <c r="A83" s="29">
        <v>7</v>
      </c>
      <c r="B83" s="30" t="s">
        <v>0</v>
      </c>
      <c r="C83" s="1">
        <v>0.7</v>
      </c>
      <c r="D83" s="1" t="s">
        <v>96</v>
      </c>
      <c r="E83" s="29"/>
      <c r="F83" s="29"/>
      <c r="G83" s="29">
        <f t="shared" si="103"/>
        <v>0</v>
      </c>
      <c r="H83" s="29"/>
      <c r="I83" s="29"/>
      <c r="J83" s="29"/>
      <c r="K83" s="29"/>
      <c r="L83" s="29"/>
      <c r="M83" s="29">
        <f t="shared" si="104"/>
        <v>0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</row>
    <row r="84" spans="1:43" ht="20.100000000000001" hidden="1" customHeight="1" x14ac:dyDescent="0.5">
      <c r="A84" s="29">
        <v>8</v>
      </c>
      <c r="B84" s="30" t="s">
        <v>8</v>
      </c>
      <c r="C84" s="1">
        <v>0.7</v>
      </c>
      <c r="D84" s="1" t="s">
        <v>96</v>
      </c>
      <c r="E84" s="29"/>
      <c r="F84" s="29"/>
      <c r="G84" s="29">
        <f t="shared" si="103"/>
        <v>0</v>
      </c>
      <c r="H84" s="29"/>
      <c r="I84" s="29"/>
      <c r="J84" s="29"/>
      <c r="K84" s="29"/>
      <c r="L84" s="29"/>
      <c r="M84" s="29">
        <f t="shared" si="104"/>
        <v>0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</row>
    <row r="85" spans="1:43" ht="20.100000000000001" hidden="1" customHeight="1" x14ac:dyDescent="0.5">
      <c r="A85" s="29">
        <v>9</v>
      </c>
      <c r="B85" s="30" t="s">
        <v>7</v>
      </c>
      <c r="C85" s="1">
        <v>0.35</v>
      </c>
      <c r="D85" s="1" t="s">
        <v>98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</row>
    <row r="86" spans="1:43" ht="20.100000000000001" customHeight="1" x14ac:dyDescent="0.5">
      <c r="A86" s="46"/>
      <c r="B86" s="239" t="s">
        <v>10</v>
      </c>
      <c r="C86" s="240"/>
      <c r="D86" s="241"/>
      <c r="E86" s="22">
        <f t="shared" ref="E86:F86" si="105">SUM(E77:E85)</f>
        <v>0</v>
      </c>
      <c r="F86" s="22">
        <f t="shared" si="105"/>
        <v>0</v>
      </c>
      <c r="G86" s="22">
        <f>SUM(G77:G85)</f>
        <v>0</v>
      </c>
      <c r="H86" s="22">
        <f t="shared" ref="H86:Y86" si="106">SUM(H77:H85)</f>
        <v>0</v>
      </c>
      <c r="I86" s="22">
        <f t="shared" si="106"/>
        <v>0</v>
      </c>
      <c r="J86" s="22">
        <f t="shared" si="106"/>
        <v>0</v>
      </c>
      <c r="K86" s="22">
        <f t="shared" si="106"/>
        <v>0</v>
      </c>
      <c r="L86" s="22">
        <f t="shared" si="106"/>
        <v>0</v>
      </c>
      <c r="M86" s="22">
        <f t="shared" si="106"/>
        <v>0</v>
      </c>
      <c r="N86" s="22">
        <f t="shared" si="106"/>
        <v>0</v>
      </c>
      <c r="O86" s="22">
        <f t="shared" si="106"/>
        <v>0</v>
      </c>
      <c r="P86" s="22">
        <f t="shared" si="106"/>
        <v>0</v>
      </c>
      <c r="Q86" s="22">
        <f t="shared" si="106"/>
        <v>0</v>
      </c>
      <c r="R86" s="22">
        <f t="shared" si="106"/>
        <v>0</v>
      </c>
      <c r="S86" s="22">
        <f t="shared" si="106"/>
        <v>0</v>
      </c>
      <c r="T86" s="22">
        <f t="shared" si="106"/>
        <v>0</v>
      </c>
      <c r="U86" s="22">
        <f t="shared" si="106"/>
        <v>0</v>
      </c>
      <c r="V86" s="22">
        <f t="shared" si="106"/>
        <v>0</v>
      </c>
      <c r="W86" s="22">
        <f t="shared" si="106"/>
        <v>0</v>
      </c>
      <c r="X86" s="22">
        <f t="shared" si="106"/>
        <v>0</v>
      </c>
      <c r="Y86" s="22">
        <f t="shared" si="106"/>
        <v>0</v>
      </c>
      <c r="Z86" s="22">
        <f>SUM(Z77:Z85)</f>
        <v>0</v>
      </c>
      <c r="AA86" s="22">
        <f t="shared" ref="AA86:AQ86" si="107">SUM(AA77:AA85)</f>
        <v>0</v>
      </c>
      <c r="AB86" s="22">
        <f t="shared" si="107"/>
        <v>0</v>
      </c>
      <c r="AC86" s="22">
        <f t="shared" si="107"/>
        <v>0</v>
      </c>
      <c r="AD86" s="22">
        <f t="shared" si="107"/>
        <v>0</v>
      </c>
      <c r="AE86" s="22">
        <f t="shared" si="107"/>
        <v>0</v>
      </c>
      <c r="AF86" s="22">
        <f t="shared" si="107"/>
        <v>0</v>
      </c>
      <c r="AG86" s="22">
        <f t="shared" si="107"/>
        <v>0</v>
      </c>
      <c r="AH86" s="22">
        <f t="shared" si="107"/>
        <v>0</v>
      </c>
      <c r="AI86" s="22">
        <f t="shared" si="107"/>
        <v>0</v>
      </c>
      <c r="AJ86" s="22">
        <f t="shared" si="107"/>
        <v>0</v>
      </c>
      <c r="AK86" s="22">
        <f t="shared" si="107"/>
        <v>0</v>
      </c>
      <c r="AL86" s="22">
        <f t="shared" si="107"/>
        <v>0</v>
      </c>
      <c r="AM86" s="22">
        <f t="shared" si="107"/>
        <v>0</v>
      </c>
      <c r="AN86" s="22">
        <f t="shared" si="107"/>
        <v>0</v>
      </c>
      <c r="AO86" s="22">
        <f t="shared" si="107"/>
        <v>0</v>
      </c>
      <c r="AP86" s="22">
        <f t="shared" si="107"/>
        <v>0</v>
      </c>
      <c r="AQ86" s="22">
        <f t="shared" si="107"/>
        <v>0</v>
      </c>
    </row>
    <row r="87" spans="1:43" s="44" customFormat="1" ht="20.100000000000001" customHeight="1" x14ac:dyDescent="0.5">
      <c r="A87" s="45"/>
      <c r="B87" s="242" t="s">
        <v>49</v>
      </c>
      <c r="C87" s="243"/>
      <c r="D87" s="244"/>
      <c r="E87" s="38">
        <f t="shared" ref="E87:F87" si="108">E75+E86</f>
        <v>645</v>
      </c>
      <c r="F87" s="38">
        <f t="shared" si="108"/>
        <v>8410</v>
      </c>
      <c r="G87" s="38">
        <f>G75+G86</f>
        <v>5785.6</v>
      </c>
      <c r="H87" s="38">
        <f t="shared" ref="H87" si="109">H75+H86</f>
        <v>400</v>
      </c>
      <c r="I87" s="38">
        <f>I75+I86</f>
        <v>5400</v>
      </c>
      <c r="J87" s="89">
        <f>J75+J86</f>
        <v>3528</v>
      </c>
      <c r="K87" s="38">
        <f t="shared" ref="K87:O87" si="110">K75+K86</f>
        <v>0</v>
      </c>
      <c r="L87" s="38">
        <f t="shared" si="110"/>
        <v>0</v>
      </c>
      <c r="M87" s="89">
        <f t="shared" si="110"/>
        <v>0</v>
      </c>
      <c r="N87" s="38">
        <f t="shared" si="110"/>
        <v>0</v>
      </c>
      <c r="O87" s="38">
        <f t="shared" si="110"/>
        <v>0</v>
      </c>
      <c r="P87" s="37">
        <f>P75+P86</f>
        <v>0</v>
      </c>
      <c r="Q87" s="38">
        <f t="shared" ref="Q87" si="111">Q75+Q86</f>
        <v>0</v>
      </c>
      <c r="R87" s="38"/>
      <c r="S87" s="37">
        <f t="shared" ref="S87:Z87" si="112">S75+S86</f>
        <v>0</v>
      </c>
      <c r="T87" s="38">
        <f t="shared" si="112"/>
        <v>0</v>
      </c>
      <c r="U87" s="38">
        <f t="shared" si="112"/>
        <v>0</v>
      </c>
      <c r="V87" s="37">
        <f t="shared" si="112"/>
        <v>0</v>
      </c>
      <c r="W87" s="38">
        <f t="shared" si="112"/>
        <v>0</v>
      </c>
      <c r="X87" s="38">
        <f t="shared" si="112"/>
        <v>0</v>
      </c>
      <c r="Y87" s="37">
        <f t="shared" si="112"/>
        <v>0</v>
      </c>
      <c r="Z87" s="38">
        <f t="shared" si="112"/>
        <v>0</v>
      </c>
      <c r="AA87" s="38"/>
      <c r="AB87" s="37">
        <f>AB75+AB86</f>
        <v>0</v>
      </c>
      <c r="AC87" s="38">
        <f t="shared" ref="AC87" si="113">AC75+AC86</f>
        <v>0</v>
      </c>
      <c r="AD87" s="38"/>
      <c r="AE87" s="37">
        <f t="shared" ref="AE87:AF87" si="114">AE75+AE86</f>
        <v>0</v>
      </c>
      <c r="AF87" s="38">
        <f t="shared" si="114"/>
        <v>0</v>
      </c>
      <c r="AG87" s="38"/>
      <c r="AH87" s="37">
        <f t="shared" ref="AH87:AI87" si="115">AH75+AH86</f>
        <v>0</v>
      </c>
      <c r="AI87" s="38">
        <f t="shared" si="115"/>
        <v>0</v>
      </c>
      <c r="AJ87" s="38"/>
      <c r="AK87" s="37">
        <f t="shared" ref="AK87:AL87" si="116">AK75+AK86</f>
        <v>0</v>
      </c>
      <c r="AL87" s="38">
        <f t="shared" si="116"/>
        <v>0</v>
      </c>
      <c r="AM87" s="38"/>
      <c r="AN87" s="37">
        <f t="shared" ref="AN87:AO87" si="117">AN75+AN86</f>
        <v>0</v>
      </c>
      <c r="AO87" s="38">
        <f t="shared" si="117"/>
        <v>0</v>
      </c>
      <c r="AP87" s="38"/>
      <c r="AQ87" s="37">
        <f t="shared" ref="AQ87" si="118">AQ75+AQ86</f>
        <v>0</v>
      </c>
    </row>
  </sheetData>
  <mergeCells count="60">
    <mergeCell ref="AO33:AQ33"/>
    <mergeCell ref="AL3:AN3"/>
    <mergeCell ref="B16:D16"/>
    <mergeCell ref="B27:D27"/>
    <mergeCell ref="B28:D28"/>
    <mergeCell ref="AO3:AQ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A3:A4"/>
    <mergeCell ref="B3:B4"/>
    <mergeCell ref="C3:C4"/>
    <mergeCell ref="D3:D4"/>
    <mergeCell ref="E3:G3"/>
    <mergeCell ref="Q33:S33"/>
    <mergeCell ref="B56:D56"/>
    <mergeCell ref="AF33:AH33"/>
    <mergeCell ref="AI33:AK33"/>
    <mergeCell ref="AL33:AN33"/>
    <mergeCell ref="E33:G33"/>
    <mergeCell ref="H33:J33"/>
    <mergeCell ref="K33:M33"/>
    <mergeCell ref="N33:P33"/>
    <mergeCell ref="T33:V33"/>
    <mergeCell ref="W33:Y33"/>
    <mergeCell ref="Z33:AB33"/>
    <mergeCell ref="AC33:AE33"/>
    <mergeCell ref="B45:D45"/>
    <mergeCell ref="B57:D57"/>
    <mergeCell ref="A33:A34"/>
    <mergeCell ref="B33:B34"/>
    <mergeCell ref="C33:C34"/>
    <mergeCell ref="D33:D34"/>
    <mergeCell ref="A62:A63"/>
    <mergeCell ref="B62:B63"/>
    <mergeCell ref="C62:C63"/>
    <mergeCell ref="D62:D63"/>
    <mergeCell ref="E62:G62"/>
    <mergeCell ref="AL62:AN62"/>
    <mergeCell ref="AO62:AQ62"/>
    <mergeCell ref="B75:D75"/>
    <mergeCell ref="B86:D86"/>
    <mergeCell ref="B87:D87"/>
    <mergeCell ref="W62:Y62"/>
    <mergeCell ref="Z62:AB62"/>
    <mergeCell ref="AC62:AE62"/>
    <mergeCell ref="AF62:AH62"/>
    <mergeCell ref="AI62:AK62"/>
    <mergeCell ref="H62:J62"/>
    <mergeCell ref="K62:M62"/>
    <mergeCell ref="N62:P62"/>
    <mergeCell ref="Q62:S62"/>
    <mergeCell ref="T62:V62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C9E8-7D7B-4C2E-8071-78178FA7BBEC}">
  <sheetPr>
    <tabColor rgb="FFFF0000"/>
  </sheetPr>
  <dimension ref="A1:AQ127"/>
  <sheetViews>
    <sheetView topLeftCell="A71" workbookViewId="0">
      <selection activeCell="H80" sqref="H80:J80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customWidth="1"/>
    <col min="7" max="7" width="8.5703125" style="42" customWidth="1"/>
    <col min="8" max="43" width="6.7109375" style="42" customWidth="1"/>
    <col min="44" max="16384" width="9.7109375" style="42"/>
  </cols>
  <sheetData>
    <row r="1" spans="1:43" x14ac:dyDescent="0.5">
      <c r="B1" s="41" t="s">
        <v>143</v>
      </c>
    </row>
    <row r="3" spans="1:43" x14ac:dyDescent="0.5">
      <c r="A3" s="245" t="s">
        <v>52</v>
      </c>
      <c r="B3" s="245" t="s">
        <v>51</v>
      </c>
      <c r="C3" s="247" t="s">
        <v>94</v>
      </c>
      <c r="D3" s="247" t="s">
        <v>95</v>
      </c>
      <c r="E3" s="236" t="s">
        <v>19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5">
      <c r="A4" s="246"/>
      <c r="B4" s="246"/>
      <c r="C4" s="248"/>
      <c r="D4" s="248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5">
      <c r="A5" s="31">
        <v>1</v>
      </c>
      <c r="B5" s="162" t="s">
        <v>67</v>
      </c>
      <c r="C5" s="34">
        <v>0.7</v>
      </c>
      <c r="D5" s="34" t="s">
        <v>96</v>
      </c>
      <c r="E5" s="29"/>
      <c r="F5" s="29"/>
      <c r="G5" s="29"/>
      <c r="H5" s="29"/>
      <c r="I5" s="29"/>
      <c r="J5" s="29"/>
      <c r="K5" s="29">
        <v>24</v>
      </c>
      <c r="L5" s="29">
        <v>288</v>
      </c>
      <c r="M5" s="29">
        <f>L5*C5</f>
        <v>201.6</v>
      </c>
      <c r="N5" s="29">
        <v>25</v>
      </c>
      <c r="O5" s="29">
        <v>300</v>
      </c>
      <c r="P5" s="29">
        <f>O5*C5</f>
        <v>210</v>
      </c>
      <c r="Q5" s="29">
        <v>5</v>
      </c>
      <c r="R5" s="29">
        <v>60</v>
      </c>
      <c r="S5" s="29">
        <f>R5*C5</f>
        <v>42</v>
      </c>
      <c r="T5" s="29"/>
      <c r="U5" s="29"/>
      <c r="V5" s="29"/>
      <c r="W5" s="29"/>
      <c r="X5" s="29"/>
      <c r="Y5" s="29"/>
      <c r="Z5" s="166"/>
      <c r="AA5" s="166"/>
      <c r="AB5" s="166">
        <f>AA5*C5</f>
        <v>0</v>
      </c>
      <c r="AC5" s="29"/>
      <c r="AD5" s="29"/>
      <c r="AE5" s="29"/>
      <c r="AF5" s="29"/>
      <c r="AG5" s="29"/>
      <c r="AH5" s="29"/>
      <c r="AI5" s="29">
        <v>5</v>
      </c>
      <c r="AJ5" s="29">
        <v>60</v>
      </c>
      <c r="AK5" s="29">
        <f>AJ5*C5</f>
        <v>42</v>
      </c>
      <c r="AL5" s="29"/>
      <c r="AM5" s="29"/>
      <c r="AN5" s="29"/>
      <c r="AO5" s="29">
        <f>E5+H5+K5+N5+Q5+T5+W5+Z5+AC5+AF5+AI5+AL5</f>
        <v>59</v>
      </c>
      <c r="AP5" s="29">
        <f t="shared" ref="AP5:AQ5" si="0">F5+I5+L5+O5+R5+U5+X5+AA5+AD5+AG5+AJ5+AM5</f>
        <v>708</v>
      </c>
      <c r="AQ5" s="29">
        <f t="shared" si="0"/>
        <v>495.6</v>
      </c>
    </row>
    <row r="6" spans="1:43" x14ac:dyDescent="0.5">
      <c r="A6" s="31">
        <v>2</v>
      </c>
      <c r="B6" s="49" t="s">
        <v>8</v>
      </c>
      <c r="C6" s="1">
        <v>0.7</v>
      </c>
      <c r="D6" s="1" t="s">
        <v>135</v>
      </c>
      <c r="E6" s="84"/>
      <c r="F6" s="84"/>
      <c r="G6" s="84"/>
      <c r="H6" s="84"/>
      <c r="I6" s="84"/>
      <c r="J6" s="84"/>
      <c r="K6" s="84"/>
      <c r="L6" s="84"/>
      <c r="M6" s="84"/>
      <c r="N6" s="84">
        <v>15</v>
      </c>
      <c r="O6" s="84">
        <v>180</v>
      </c>
      <c r="P6" s="29">
        <f>O6*C6</f>
        <v>125.99999999999999</v>
      </c>
      <c r="Q6" s="84">
        <v>4</v>
      </c>
      <c r="R6" s="84">
        <v>48</v>
      </c>
      <c r="S6" s="29">
        <f>R6*C6</f>
        <v>33.599999999999994</v>
      </c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>
        <v>24</v>
      </c>
      <c r="AJ6" s="84">
        <v>288</v>
      </c>
      <c r="AK6" s="29">
        <f>AJ6*C6</f>
        <v>201.6</v>
      </c>
      <c r="AL6" s="84"/>
      <c r="AM6" s="84"/>
      <c r="AN6" s="84"/>
      <c r="AO6" s="29">
        <f>E6+H6+K6+N6+Q6+T6+W6+Z6+AC6+AF6+AI6+AL6</f>
        <v>43</v>
      </c>
      <c r="AP6" s="29">
        <f t="shared" ref="AP6" si="1">F6+I6+L6+O6+R6+U6+X6+AA6+AD6+AG6+AJ6+AM6</f>
        <v>516</v>
      </c>
      <c r="AQ6" s="29">
        <f t="shared" ref="AQ6" si="2">G6+J6+M6+P6+S6+V6+Y6+AB6+AE6+AH6+AK6+AN6</f>
        <v>361.19999999999993</v>
      </c>
    </row>
    <row r="7" spans="1:43" x14ac:dyDescent="0.5">
      <c r="A7" s="24"/>
      <c r="B7" s="239" t="s">
        <v>10</v>
      </c>
      <c r="C7" s="240"/>
      <c r="D7" s="241"/>
      <c r="E7" s="22">
        <f>SUM(E5:E6)</f>
        <v>0</v>
      </c>
      <c r="F7" s="22">
        <f t="shared" ref="F7:AQ7" si="3">SUM(F5:F6)</f>
        <v>0</v>
      </c>
      <c r="G7" s="22">
        <f t="shared" si="3"/>
        <v>0</v>
      </c>
      <c r="H7" s="22">
        <f t="shared" si="3"/>
        <v>0</v>
      </c>
      <c r="I7" s="22">
        <f t="shared" si="3"/>
        <v>0</v>
      </c>
      <c r="J7" s="22">
        <f t="shared" si="3"/>
        <v>0</v>
      </c>
      <c r="K7" s="22">
        <f t="shared" si="3"/>
        <v>24</v>
      </c>
      <c r="L7" s="22">
        <f t="shared" si="3"/>
        <v>288</v>
      </c>
      <c r="M7" s="22">
        <f t="shared" si="3"/>
        <v>201.6</v>
      </c>
      <c r="N7" s="22">
        <f t="shared" si="3"/>
        <v>40</v>
      </c>
      <c r="O7" s="22">
        <f t="shared" si="3"/>
        <v>480</v>
      </c>
      <c r="P7" s="22">
        <f t="shared" si="3"/>
        <v>336</v>
      </c>
      <c r="Q7" s="22">
        <f t="shared" si="3"/>
        <v>9</v>
      </c>
      <c r="R7" s="22">
        <f t="shared" si="3"/>
        <v>108</v>
      </c>
      <c r="S7" s="22">
        <f t="shared" si="3"/>
        <v>75.599999999999994</v>
      </c>
      <c r="T7" s="22">
        <f t="shared" si="3"/>
        <v>0</v>
      </c>
      <c r="U7" s="22">
        <f t="shared" si="3"/>
        <v>0</v>
      </c>
      <c r="V7" s="22">
        <f t="shared" si="3"/>
        <v>0</v>
      </c>
      <c r="W7" s="22">
        <f t="shared" si="3"/>
        <v>0</v>
      </c>
      <c r="X7" s="22">
        <f t="shared" si="3"/>
        <v>0</v>
      </c>
      <c r="Y7" s="22">
        <f t="shared" si="3"/>
        <v>0</v>
      </c>
      <c r="Z7" s="22">
        <f t="shared" si="3"/>
        <v>0</v>
      </c>
      <c r="AA7" s="22">
        <f t="shared" si="3"/>
        <v>0</v>
      </c>
      <c r="AB7" s="22">
        <f t="shared" si="3"/>
        <v>0</v>
      </c>
      <c r="AC7" s="22">
        <f t="shared" si="3"/>
        <v>0</v>
      </c>
      <c r="AD7" s="22">
        <f t="shared" si="3"/>
        <v>0</v>
      </c>
      <c r="AE7" s="22">
        <f t="shared" si="3"/>
        <v>0</v>
      </c>
      <c r="AF7" s="22">
        <f t="shared" si="3"/>
        <v>0</v>
      </c>
      <c r="AG7" s="22">
        <f t="shared" si="3"/>
        <v>0</v>
      </c>
      <c r="AH7" s="22">
        <f t="shared" si="3"/>
        <v>0</v>
      </c>
      <c r="AI7" s="22">
        <f t="shared" si="3"/>
        <v>29</v>
      </c>
      <c r="AJ7" s="22">
        <f t="shared" si="3"/>
        <v>348</v>
      </c>
      <c r="AK7" s="22">
        <f t="shared" si="3"/>
        <v>243.6</v>
      </c>
      <c r="AL7" s="22">
        <f t="shared" si="3"/>
        <v>0</v>
      </c>
      <c r="AM7" s="22">
        <f t="shared" si="3"/>
        <v>0</v>
      </c>
      <c r="AN7" s="22">
        <f t="shared" si="3"/>
        <v>0</v>
      </c>
      <c r="AO7" s="22">
        <f t="shared" si="3"/>
        <v>102</v>
      </c>
      <c r="AP7" s="22">
        <f t="shared" si="3"/>
        <v>1224</v>
      </c>
      <c r="AQ7" s="22">
        <f t="shared" si="3"/>
        <v>856.8</v>
      </c>
    </row>
    <row r="16" spans="1:43" ht="25.15" customHeight="1" x14ac:dyDescent="0.5">
      <c r="B16" s="41" t="s">
        <v>106</v>
      </c>
    </row>
    <row r="17" spans="1:43" ht="15" customHeight="1" x14ac:dyDescent="0.5"/>
    <row r="18" spans="1:43" ht="42.75" customHeight="1" x14ac:dyDescent="0.5">
      <c r="A18" s="245" t="s">
        <v>52</v>
      </c>
      <c r="B18" s="245" t="s">
        <v>51</v>
      </c>
      <c r="C18" s="247" t="s">
        <v>94</v>
      </c>
      <c r="D18" s="247" t="s">
        <v>95</v>
      </c>
      <c r="E18" s="236" t="s">
        <v>19</v>
      </c>
      <c r="F18" s="237"/>
      <c r="G18" s="238"/>
      <c r="H18" s="236" t="s">
        <v>58</v>
      </c>
      <c r="I18" s="237"/>
      <c r="J18" s="238"/>
      <c r="K18" s="236" t="s">
        <v>59</v>
      </c>
      <c r="L18" s="237"/>
      <c r="M18" s="238"/>
      <c r="N18" s="236" t="s">
        <v>60</v>
      </c>
      <c r="O18" s="237"/>
      <c r="P18" s="238"/>
      <c r="Q18" s="236" t="s">
        <v>61</v>
      </c>
      <c r="R18" s="237"/>
      <c r="S18" s="238"/>
      <c r="T18" s="236" t="s">
        <v>62</v>
      </c>
      <c r="U18" s="237"/>
      <c r="V18" s="238"/>
      <c r="W18" s="236" t="s">
        <v>63</v>
      </c>
      <c r="X18" s="237"/>
      <c r="Y18" s="238"/>
      <c r="Z18" s="236" t="s">
        <v>64</v>
      </c>
      <c r="AA18" s="237"/>
      <c r="AB18" s="238"/>
      <c r="AC18" s="236" t="s">
        <v>65</v>
      </c>
      <c r="AD18" s="237"/>
      <c r="AE18" s="238"/>
      <c r="AF18" s="236" t="s">
        <v>18</v>
      </c>
      <c r="AG18" s="237"/>
      <c r="AH18" s="238"/>
      <c r="AI18" s="236" t="s">
        <v>17</v>
      </c>
      <c r="AJ18" s="237"/>
      <c r="AK18" s="238"/>
      <c r="AL18" s="236" t="s">
        <v>16</v>
      </c>
      <c r="AM18" s="237"/>
      <c r="AN18" s="238"/>
      <c r="AO18" s="236" t="s">
        <v>10</v>
      </c>
      <c r="AP18" s="237"/>
      <c r="AQ18" s="238"/>
    </row>
    <row r="19" spans="1:43" ht="25.15" customHeight="1" x14ac:dyDescent="0.5">
      <c r="A19" s="246"/>
      <c r="B19" s="246"/>
      <c r="C19" s="248"/>
      <c r="D19" s="248"/>
      <c r="E19" s="40" t="s">
        <v>50</v>
      </c>
      <c r="F19" s="40" t="s">
        <v>56</v>
      </c>
      <c r="G19" s="40" t="s">
        <v>93</v>
      </c>
      <c r="H19" s="40" t="s">
        <v>50</v>
      </c>
      <c r="I19" s="40" t="s">
        <v>56</v>
      </c>
      <c r="J19" s="40" t="s">
        <v>57</v>
      </c>
      <c r="K19" s="40" t="s">
        <v>50</v>
      </c>
      <c r="L19" s="40" t="s">
        <v>56</v>
      </c>
      <c r="M19" s="40" t="s">
        <v>57</v>
      </c>
      <c r="N19" s="40" t="s">
        <v>50</v>
      </c>
      <c r="O19" s="40" t="s">
        <v>56</v>
      </c>
      <c r="P19" s="40" t="s">
        <v>57</v>
      </c>
      <c r="Q19" s="40" t="s">
        <v>50</v>
      </c>
      <c r="R19" s="40" t="s">
        <v>56</v>
      </c>
      <c r="S19" s="40" t="s">
        <v>57</v>
      </c>
      <c r="T19" s="40" t="s">
        <v>50</v>
      </c>
      <c r="U19" s="40" t="s">
        <v>56</v>
      </c>
      <c r="V19" s="40" t="s">
        <v>57</v>
      </c>
      <c r="W19" s="40" t="s">
        <v>50</v>
      </c>
      <c r="X19" s="40" t="s">
        <v>56</v>
      </c>
      <c r="Y19" s="40" t="s">
        <v>57</v>
      </c>
      <c r="Z19" s="40" t="s">
        <v>50</v>
      </c>
      <c r="AA19" s="40" t="s">
        <v>56</v>
      </c>
      <c r="AB19" s="40" t="s">
        <v>57</v>
      </c>
      <c r="AC19" s="40" t="s">
        <v>50</v>
      </c>
      <c r="AD19" s="40" t="s">
        <v>56</v>
      </c>
      <c r="AE19" s="40" t="s">
        <v>57</v>
      </c>
      <c r="AF19" s="40" t="s">
        <v>50</v>
      </c>
      <c r="AG19" s="40" t="s">
        <v>56</v>
      </c>
      <c r="AH19" s="40" t="s">
        <v>57</v>
      </c>
      <c r="AI19" s="40" t="s">
        <v>50</v>
      </c>
      <c r="AJ19" s="40" t="s">
        <v>56</v>
      </c>
      <c r="AK19" s="40" t="s">
        <v>57</v>
      </c>
      <c r="AL19" s="40" t="s">
        <v>50</v>
      </c>
      <c r="AM19" s="40" t="s">
        <v>56</v>
      </c>
      <c r="AN19" s="40" t="s">
        <v>57</v>
      </c>
      <c r="AO19" s="40" t="s">
        <v>50</v>
      </c>
      <c r="AP19" s="40" t="s">
        <v>56</v>
      </c>
      <c r="AQ19" s="40" t="s">
        <v>57</v>
      </c>
    </row>
    <row r="20" spans="1:43" s="43" customFormat="1" ht="25.15" customHeight="1" x14ac:dyDescent="0.5">
      <c r="A20" s="31">
        <v>1</v>
      </c>
      <c r="B20" s="49" t="s">
        <v>67</v>
      </c>
      <c r="C20" s="34">
        <v>0.7</v>
      </c>
      <c r="D20" s="34" t="s">
        <v>96</v>
      </c>
      <c r="E20" s="29"/>
      <c r="F20" s="29"/>
      <c r="G20" s="29">
        <f>F20*C20</f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s="43" customFormat="1" ht="25.15" hidden="1" customHeight="1" x14ac:dyDescent="0.5">
      <c r="A21" s="31">
        <v>2</v>
      </c>
      <c r="B21" s="49"/>
      <c r="C21" s="34"/>
      <c r="D21" s="34"/>
      <c r="E21" s="29"/>
      <c r="F21" s="29"/>
      <c r="G21" s="29">
        <f t="shared" ref="G21:G54" si="4">F21*C21</f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ht="25.15" hidden="1" customHeight="1" x14ac:dyDescent="0.5">
      <c r="A22" s="31">
        <v>3</v>
      </c>
      <c r="B22" s="49" t="s">
        <v>68</v>
      </c>
      <c r="C22" s="30">
        <v>1</v>
      </c>
      <c r="D22" s="30" t="s">
        <v>96</v>
      </c>
      <c r="E22" s="28"/>
      <c r="F22" s="28"/>
      <c r="G22" s="29">
        <f t="shared" si="4"/>
        <v>0</v>
      </c>
      <c r="H22" s="28"/>
      <c r="I22" s="28"/>
      <c r="J22" s="29"/>
      <c r="K22" s="28"/>
      <c r="L22" s="28"/>
      <c r="M22" s="29"/>
      <c r="N22" s="28"/>
      <c r="O22" s="28"/>
      <c r="P22" s="29"/>
      <c r="Q22" s="28"/>
      <c r="R22" s="28"/>
      <c r="S22" s="29"/>
      <c r="T22" s="28"/>
      <c r="U22" s="28"/>
      <c r="V22" s="29"/>
      <c r="W22" s="28"/>
      <c r="X22" s="28"/>
      <c r="Y22" s="29"/>
      <c r="Z22" s="28"/>
      <c r="AA22" s="28"/>
      <c r="AB22" s="29"/>
      <c r="AC22" s="28"/>
      <c r="AD22" s="28"/>
      <c r="AE22" s="29"/>
      <c r="AF22" s="28"/>
      <c r="AG22" s="28"/>
      <c r="AH22" s="29"/>
      <c r="AI22" s="28"/>
      <c r="AJ22" s="28"/>
      <c r="AK22" s="29"/>
      <c r="AL22" s="28"/>
      <c r="AM22" s="28"/>
      <c r="AN22" s="29"/>
      <c r="AO22" s="28"/>
      <c r="AP22" s="28"/>
      <c r="AQ22" s="29"/>
    </row>
    <row r="23" spans="1:43" ht="25.15" customHeight="1" x14ac:dyDescent="0.5">
      <c r="A23" s="31">
        <v>4</v>
      </c>
      <c r="B23" s="49" t="s">
        <v>69</v>
      </c>
      <c r="C23" s="30">
        <v>1</v>
      </c>
      <c r="D23" s="30" t="s">
        <v>96</v>
      </c>
      <c r="E23" s="28"/>
      <c r="F23" s="28"/>
      <c r="G23" s="29">
        <f t="shared" si="4"/>
        <v>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ht="25.15" hidden="1" customHeight="1" x14ac:dyDescent="0.5">
      <c r="A24" s="31">
        <v>5</v>
      </c>
      <c r="B24" s="49" t="s">
        <v>70</v>
      </c>
      <c r="C24" s="30"/>
      <c r="D24" s="30"/>
      <c r="E24" s="28"/>
      <c r="F24" s="28"/>
      <c r="G24" s="29">
        <f t="shared" si="4"/>
        <v>0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ht="25.15" hidden="1" customHeight="1" x14ac:dyDescent="0.5">
      <c r="A25" s="31">
        <v>6</v>
      </c>
      <c r="B25" s="49" t="s">
        <v>71</v>
      </c>
      <c r="C25" s="30">
        <v>0.35</v>
      </c>
      <c r="D25" s="30" t="s">
        <v>97</v>
      </c>
      <c r="E25" s="28"/>
      <c r="F25" s="28"/>
      <c r="G25" s="29">
        <f t="shared" si="4"/>
        <v>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ht="25.15" hidden="1" customHeight="1" x14ac:dyDescent="0.5">
      <c r="A26" s="31">
        <v>7</v>
      </c>
      <c r="B26" s="49" t="s">
        <v>72</v>
      </c>
      <c r="C26" s="30"/>
      <c r="D26" s="30"/>
      <c r="E26" s="28"/>
      <c r="F26" s="28"/>
      <c r="G26" s="29">
        <f t="shared" si="4"/>
        <v>0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ht="25.15" customHeight="1" x14ac:dyDescent="0.5">
      <c r="A27" s="31">
        <v>8</v>
      </c>
      <c r="B27" s="49" t="s">
        <v>73</v>
      </c>
      <c r="C27" s="30">
        <v>0.64</v>
      </c>
      <c r="D27" s="30" t="s">
        <v>99</v>
      </c>
      <c r="E27" s="28"/>
      <c r="F27" s="28"/>
      <c r="G27" s="29">
        <f t="shared" si="4"/>
        <v>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ht="25.15" hidden="1" customHeight="1" x14ac:dyDescent="0.5">
      <c r="A28" s="31">
        <v>9</v>
      </c>
      <c r="B28" s="49" t="s">
        <v>73</v>
      </c>
      <c r="C28" s="30"/>
      <c r="D28" s="30"/>
      <c r="E28" s="28"/>
      <c r="F28" s="28"/>
      <c r="G28" s="29">
        <f t="shared" si="4"/>
        <v>0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ht="25.15" hidden="1" customHeight="1" x14ac:dyDescent="0.5">
      <c r="A29" s="31">
        <v>10</v>
      </c>
      <c r="B29" s="49" t="s">
        <v>73</v>
      </c>
      <c r="C29" s="30"/>
      <c r="D29" s="30"/>
      <c r="E29" s="28"/>
      <c r="F29" s="28"/>
      <c r="G29" s="29">
        <f t="shared" si="4"/>
        <v>0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ht="25.15" hidden="1" customHeight="1" x14ac:dyDescent="0.5">
      <c r="A30" s="31">
        <v>11</v>
      </c>
      <c r="B30" s="49"/>
      <c r="C30" s="30"/>
      <c r="D30" s="30"/>
      <c r="E30" s="28"/>
      <c r="F30" s="28"/>
      <c r="G30" s="29">
        <f t="shared" si="4"/>
        <v>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ht="25.15" customHeight="1" x14ac:dyDescent="0.5">
      <c r="A31" s="31">
        <v>12</v>
      </c>
      <c r="B31" s="49" t="s">
        <v>74</v>
      </c>
      <c r="C31" s="30">
        <v>1</v>
      </c>
      <c r="D31" s="30" t="s">
        <v>96</v>
      </c>
      <c r="E31" s="28"/>
      <c r="F31" s="28"/>
      <c r="G31" s="29">
        <f t="shared" si="4"/>
        <v>0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>
        <v>20</v>
      </c>
      <c r="AG31" s="28">
        <v>240</v>
      </c>
      <c r="AH31" s="28">
        <v>240</v>
      </c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ht="25.15" customHeight="1" x14ac:dyDescent="0.5">
      <c r="A32" s="31">
        <v>13</v>
      </c>
      <c r="B32" s="49" t="s">
        <v>75</v>
      </c>
      <c r="C32" s="30">
        <v>1</v>
      </c>
      <c r="D32" s="30" t="s">
        <v>96</v>
      </c>
      <c r="E32" s="28"/>
      <c r="F32" s="28"/>
      <c r="G32" s="29">
        <f t="shared" si="4"/>
        <v>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>
        <v>11</v>
      </c>
      <c r="AD32" s="28">
        <v>132</v>
      </c>
      <c r="AE32" s="28">
        <v>132</v>
      </c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ht="25.15" hidden="1" customHeight="1" x14ac:dyDescent="0.5">
      <c r="A33" s="31">
        <v>14</v>
      </c>
      <c r="B33" s="49" t="s">
        <v>76</v>
      </c>
      <c r="C33" s="30"/>
      <c r="D33" s="30"/>
      <c r="E33" s="28"/>
      <c r="F33" s="28"/>
      <c r="G33" s="29">
        <f t="shared" si="4"/>
        <v>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</row>
    <row r="34" spans="1:43" s="43" customFormat="1" ht="25.15" hidden="1" customHeight="1" x14ac:dyDescent="0.5">
      <c r="A34" s="31">
        <v>15</v>
      </c>
      <c r="B34" s="49" t="s">
        <v>77</v>
      </c>
      <c r="C34" s="34"/>
      <c r="D34" s="34"/>
      <c r="E34" s="29"/>
      <c r="F34" s="29"/>
      <c r="G34" s="29">
        <f t="shared" si="4"/>
        <v>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</row>
    <row r="35" spans="1:43" ht="25.15" hidden="1" customHeight="1" x14ac:dyDescent="0.5">
      <c r="A35" s="31">
        <v>16</v>
      </c>
      <c r="B35" s="49" t="s">
        <v>78</v>
      </c>
      <c r="C35" s="30"/>
      <c r="D35" s="30"/>
      <c r="E35" s="28"/>
      <c r="F35" s="28"/>
      <c r="G35" s="29">
        <f t="shared" si="4"/>
        <v>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</row>
    <row r="36" spans="1:43" ht="25.15" hidden="1" customHeight="1" x14ac:dyDescent="0.5">
      <c r="A36" s="31">
        <v>17</v>
      </c>
      <c r="B36" s="49" t="s">
        <v>79</v>
      </c>
      <c r="C36" s="30"/>
      <c r="D36" s="30"/>
      <c r="E36" s="28"/>
      <c r="F36" s="28"/>
      <c r="G36" s="29">
        <f t="shared" si="4"/>
        <v>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</row>
    <row r="37" spans="1:43" ht="25.15" hidden="1" customHeight="1" x14ac:dyDescent="0.5">
      <c r="A37" s="31">
        <v>18</v>
      </c>
      <c r="B37" s="49" t="s">
        <v>80</v>
      </c>
      <c r="C37" s="30"/>
      <c r="D37" s="30"/>
      <c r="E37" s="28"/>
      <c r="F37" s="28"/>
      <c r="G37" s="29">
        <f t="shared" si="4"/>
        <v>0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</row>
    <row r="38" spans="1:43" ht="24" hidden="1" customHeight="1" x14ac:dyDescent="0.5">
      <c r="A38" s="31">
        <v>19</v>
      </c>
      <c r="B38" s="49" t="s">
        <v>81</v>
      </c>
      <c r="C38" s="30"/>
      <c r="D38" s="30"/>
      <c r="E38" s="28"/>
      <c r="F38" s="28"/>
      <c r="G38" s="29">
        <f t="shared" si="4"/>
        <v>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</row>
    <row r="39" spans="1:43" ht="24" hidden="1" customHeight="1" x14ac:dyDescent="0.5">
      <c r="A39" s="31">
        <v>20</v>
      </c>
      <c r="B39" s="49" t="s">
        <v>82</v>
      </c>
      <c r="C39" s="30"/>
      <c r="D39" s="30"/>
      <c r="E39" s="28"/>
      <c r="F39" s="28"/>
      <c r="G39" s="29">
        <f t="shared" si="4"/>
        <v>0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</row>
    <row r="40" spans="1:43" ht="24" hidden="1" customHeight="1" x14ac:dyDescent="0.5">
      <c r="A40" s="31">
        <v>21</v>
      </c>
      <c r="B40" s="49" t="s">
        <v>83</v>
      </c>
      <c r="C40" s="30">
        <v>1</v>
      </c>
      <c r="D40" s="30" t="s">
        <v>96</v>
      </c>
      <c r="E40" s="28"/>
      <c r="F40" s="28"/>
      <c r="G40" s="29">
        <f t="shared" si="4"/>
        <v>0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</row>
    <row r="41" spans="1:43" ht="24" hidden="1" customHeight="1" x14ac:dyDescent="0.5">
      <c r="A41" s="31">
        <v>22</v>
      </c>
      <c r="B41" s="49" t="s">
        <v>84</v>
      </c>
      <c r="C41" s="30"/>
      <c r="D41" s="30"/>
      <c r="E41" s="28"/>
      <c r="F41" s="28"/>
      <c r="G41" s="29">
        <f t="shared" si="4"/>
        <v>0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ht="24" customHeight="1" x14ac:dyDescent="0.5">
      <c r="A42" s="31">
        <v>23</v>
      </c>
      <c r="B42" s="49" t="s">
        <v>85</v>
      </c>
      <c r="C42" s="30"/>
      <c r="D42" s="30"/>
      <c r="E42" s="28"/>
      <c r="F42" s="28"/>
      <c r="G42" s="29">
        <f t="shared" si="4"/>
        <v>0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ht="24" hidden="1" customHeight="1" x14ac:dyDescent="0.5">
      <c r="A43" s="31">
        <v>24</v>
      </c>
      <c r="B43" s="49" t="s">
        <v>86</v>
      </c>
      <c r="C43" s="30"/>
      <c r="D43" s="30"/>
      <c r="E43" s="28"/>
      <c r="F43" s="28"/>
      <c r="G43" s="29">
        <f t="shared" si="4"/>
        <v>0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</row>
    <row r="44" spans="1:43" ht="24" hidden="1" customHeight="1" x14ac:dyDescent="0.5">
      <c r="A44" s="31">
        <v>25</v>
      </c>
      <c r="B44" s="49" t="s">
        <v>87</v>
      </c>
      <c r="C44" s="30"/>
      <c r="D44" s="30"/>
      <c r="E44" s="28"/>
      <c r="F44" s="28"/>
      <c r="G44" s="29">
        <f t="shared" si="4"/>
        <v>0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4" hidden="1" customHeight="1" x14ac:dyDescent="0.5">
      <c r="A45" s="31">
        <v>26</v>
      </c>
      <c r="B45" s="49" t="s">
        <v>88</v>
      </c>
      <c r="C45" s="30"/>
      <c r="D45" s="30"/>
      <c r="E45" s="28"/>
      <c r="F45" s="28"/>
      <c r="G45" s="29">
        <f t="shared" si="4"/>
        <v>0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4" hidden="1" customHeight="1" x14ac:dyDescent="0.5">
      <c r="A46" s="31">
        <v>27</v>
      </c>
      <c r="B46" s="49" t="s">
        <v>89</v>
      </c>
      <c r="C46" s="39"/>
      <c r="D46" s="30"/>
      <c r="E46" s="28"/>
      <c r="F46" s="28"/>
      <c r="G46" s="29">
        <f t="shared" si="4"/>
        <v>0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ht="24" customHeight="1" x14ac:dyDescent="0.5">
      <c r="A47" s="31"/>
      <c r="B47" s="49" t="s">
        <v>89</v>
      </c>
      <c r="C47" s="39">
        <v>0.64</v>
      </c>
      <c r="D47" s="30" t="s">
        <v>99</v>
      </c>
      <c r="E47" s="28"/>
      <c r="F47" s="28"/>
      <c r="G47" s="29">
        <f t="shared" si="4"/>
        <v>0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</row>
    <row r="48" spans="1:43" ht="24" customHeight="1" x14ac:dyDescent="0.5">
      <c r="A48" s="31">
        <v>28</v>
      </c>
      <c r="B48" s="49" t="s">
        <v>88</v>
      </c>
      <c r="C48" s="30">
        <v>0.64</v>
      </c>
      <c r="D48" s="30" t="s">
        <v>99</v>
      </c>
      <c r="E48" s="28"/>
      <c r="F48" s="28"/>
      <c r="G48" s="29">
        <f t="shared" si="4"/>
        <v>0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4" hidden="1" customHeight="1" x14ac:dyDescent="0.5">
      <c r="A49" s="31">
        <v>29</v>
      </c>
      <c r="B49" s="49" t="s">
        <v>88</v>
      </c>
      <c r="C49" s="30">
        <v>0.64</v>
      </c>
      <c r="D49" s="30" t="s">
        <v>98</v>
      </c>
      <c r="E49" s="28"/>
      <c r="F49" s="28"/>
      <c r="G49" s="29">
        <f t="shared" si="4"/>
        <v>0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</row>
    <row r="50" spans="1:43" ht="24" hidden="1" customHeight="1" x14ac:dyDescent="0.5">
      <c r="A50" s="31">
        <v>30</v>
      </c>
      <c r="B50" s="49" t="s">
        <v>9</v>
      </c>
      <c r="C50" s="30">
        <v>0.64</v>
      </c>
      <c r="D50" s="30" t="s">
        <v>99</v>
      </c>
      <c r="E50" s="28"/>
      <c r="F50" s="28"/>
      <c r="G50" s="29">
        <f t="shared" si="4"/>
        <v>0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</row>
    <row r="51" spans="1:43" ht="24" customHeight="1" x14ac:dyDescent="0.5">
      <c r="A51" s="31">
        <v>31</v>
      </c>
      <c r="B51" s="30" t="s">
        <v>90</v>
      </c>
      <c r="C51" s="30">
        <v>1</v>
      </c>
      <c r="D51" s="30" t="s">
        <v>96</v>
      </c>
      <c r="E51" s="28"/>
      <c r="F51" s="28"/>
      <c r="G51" s="29">
        <f t="shared" si="4"/>
        <v>0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</row>
    <row r="52" spans="1:43" ht="24" hidden="1" customHeight="1" x14ac:dyDescent="0.5">
      <c r="A52" s="31">
        <v>32</v>
      </c>
      <c r="B52" s="30" t="s">
        <v>91</v>
      </c>
      <c r="C52" s="30"/>
      <c r="D52" s="30"/>
      <c r="E52" s="28"/>
      <c r="F52" s="28"/>
      <c r="G52" s="29">
        <f t="shared" si="4"/>
        <v>0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ht="24" hidden="1" customHeight="1" x14ac:dyDescent="0.5">
      <c r="A53" s="31">
        <v>33</v>
      </c>
      <c r="B53" s="30" t="s">
        <v>91</v>
      </c>
      <c r="C53" s="30"/>
      <c r="D53" s="30"/>
      <c r="E53" s="28"/>
      <c r="F53" s="28"/>
      <c r="G53" s="29">
        <f t="shared" si="4"/>
        <v>0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</row>
    <row r="54" spans="1:43" ht="24" customHeight="1" x14ac:dyDescent="0.5">
      <c r="A54" s="31">
        <v>34</v>
      </c>
      <c r="B54" s="30" t="s">
        <v>92</v>
      </c>
      <c r="C54" s="30">
        <v>0.64</v>
      </c>
      <c r="D54" s="30" t="s">
        <v>98</v>
      </c>
      <c r="E54" s="28"/>
      <c r="F54" s="28"/>
      <c r="G54" s="29">
        <f t="shared" si="4"/>
        <v>0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ht="24" hidden="1" customHeight="1" x14ac:dyDescent="0.5">
      <c r="A55" s="31">
        <v>35</v>
      </c>
      <c r="B55" s="30"/>
      <c r="C55" s="30"/>
      <c r="D55" s="30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</row>
    <row r="56" spans="1:43" ht="24" hidden="1" customHeight="1" x14ac:dyDescent="0.5">
      <c r="A56" s="31">
        <v>36</v>
      </c>
      <c r="B56" s="30"/>
      <c r="C56" s="30"/>
      <c r="D56" s="30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</row>
    <row r="57" spans="1:43" ht="24" hidden="1" customHeight="1" x14ac:dyDescent="0.5">
      <c r="A57" s="31">
        <v>37</v>
      </c>
      <c r="B57" s="30"/>
      <c r="C57" s="30"/>
      <c r="D57" s="30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</row>
    <row r="58" spans="1:43" s="41" customFormat="1" ht="24" customHeight="1" x14ac:dyDescent="0.5">
      <c r="A58" s="24"/>
      <c r="B58" s="239" t="s">
        <v>10</v>
      </c>
      <c r="C58" s="240"/>
      <c r="D58" s="241"/>
      <c r="E58" s="22">
        <f>SUM(E20:E57)</f>
        <v>0</v>
      </c>
      <c r="F58" s="22">
        <f t="shared" ref="F58:AN58" si="5">SUM(F20:F57)</f>
        <v>0</v>
      </c>
      <c r="G58" s="22">
        <f>SUM(G20:G57)</f>
        <v>0</v>
      </c>
      <c r="H58" s="22">
        <f t="shared" si="5"/>
        <v>0</v>
      </c>
      <c r="I58" s="22">
        <f t="shared" si="5"/>
        <v>0</v>
      </c>
      <c r="J58" s="22">
        <f t="shared" si="5"/>
        <v>0</v>
      </c>
      <c r="K58" s="22">
        <f t="shared" si="5"/>
        <v>0</v>
      </c>
      <c r="L58" s="22">
        <f t="shared" si="5"/>
        <v>0</v>
      </c>
      <c r="M58" s="22">
        <f t="shared" si="5"/>
        <v>0</v>
      </c>
      <c r="N58" s="22">
        <f t="shared" si="5"/>
        <v>0</v>
      </c>
      <c r="O58" s="22">
        <f t="shared" si="5"/>
        <v>0</v>
      </c>
      <c r="P58" s="22">
        <f t="shared" si="5"/>
        <v>0</v>
      </c>
      <c r="Q58" s="22">
        <f t="shared" si="5"/>
        <v>0</v>
      </c>
      <c r="R58" s="22">
        <f t="shared" si="5"/>
        <v>0</v>
      </c>
      <c r="S58" s="22">
        <f t="shared" si="5"/>
        <v>0</v>
      </c>
      <c r="T58" s="22">
        <f t="shared" si="5"/>
        <v>0</v>
      </c>
      <c r="U58" s="22">
        <f t="shared" si="5"/>
        <v>0</v>
      </c>
      <c r="V58" s="22">
        <f t="shared" si="5"/>
        <v>0</v>
      </c>
      <c r="W58" s="22">
        <f t="shared" si="5"/>
        <v>0</v>
      </c>
      <c r="X58" s="22">
        <f t="shared" si="5"/>
        <v>0</v>
      </c>
      <c r="Y58" s="22">
        <f t="shared" si="5"/>
        <v>0</v>
      </c>
      <c r="Z58" s="22">
        <f t="shared" si="5"/>
        <v>0</v>
      </c>
      <c r="AA58" s="22">
        <f t="shared" si="5"/>
        <v>0</v>
      </c>
      <c r="AB58" s="22">
        <f t="shared" si="5"/>
        <v>0</v>
      </c>
      <c r="AC58" s="22">
        <f t="shared" si="5"/>
        <v>11</v>
      </c>
      <c r="AD58" s="22">
        <f t="shared" si="5"/>
        <v>132</v>
      </c>
      <c r="AE58" s="22">
        <f t="shared" si="5"/>
        <v>132</v>
      </c>
      <c r="AF58" s="22">
        <f>SUM(AF20:AF57)</f>
        <v>20</v>
      </c>
      <c r="AG58" s="22">
        <f t="shared" si="5"/>
        <v>240</v>
      </c>
      <c r="AH58" s="22">
        <f t="shared" si="5"/>
        <v>240</v>
      </c>
      <c r="AI58" s="22">
        <f t="shared" si="5"/>
        <v>0</v>
      </c>
      <c r="AJ58" s="22">
        <f t="shared" si="5"/>
        <v>0</v>
      </c>
      <c r="AK58" s="22">
        <f t="shared" si="5"/>
        <v>0</v>
      </c>
      <c r="AL58" s="22">
        <f t="shared" si="5"/>
        <v>0</v>
      </c>
      <c r="AM58" s="22">
        <f t="shared" si="5"/>
        <v>0</v>
      </c>
      <c r="AN58" s="22">
        <f t="shared" si="5"/>
        <v>0</v>
      </c>
      <c r="AO58" s="22">
        <f t="shared" ref="AO58:AQ58" si="6">SUM(AO20:AO57)</f>
        <v>0</v>
      </c>
      <c r="AP58" s="22">
        <f t="shared" si="6"/>
        <v>0</v>
      </c>
      <c r="AQ58" s="22">
        <f t="shared" si="6"/>
        <v>0</v>
      </c>
    </row>
    <row r="59" spans="1:43" ht="24" hidden="1" customHeight="1" x14ac:dyDescent="0.5">
      <c r="A59" s="39"/>
      <c r="B59" s="30"/>
      <c r="C59" s="30"/>
      <c r="D59" s="30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</row>
    <row r="60" spans="1:43" ht="25.15" hidden="1" customHeight="1" x14ac:dyDescent="0.5">
      <c r="A60" s="39">
        <v>1</v>
      </c>
      <c r="B60" s="30" t="s">
        <v>6</v>
      </c>
      <c r="C60" s="1">
        <v>0.7</v>
      </c>
      <c r="D60" s="1" t="s">
        <v>96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5.15" hidden="1" customHeight="1" x14ac:dyDescent="0.5">
      <c r="A61" s="39">
        <v>2</v>
      </c>
      <c r="B61" s="30" t="s">
        <v>5</v>
      </c>
      <c r="C61" s="1">
        <v>0.35</v>
      </c>
      <c r="D61" s="1" t="s">
        <v>98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ht="25.15" hidden="1" customHeight="1" x14ac:dyDescent="0.5">
      <c r="A62" s="39">
        <v>3</v>
      </c>
      <c r="B62" s="30" t="s">
        <v>4</v>
      </c>
      <c r="C62" s="1">
        <v>0.17499999999999999</v>
      </c>
      <c r="D62" s="1" t="s">
        <v>100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ht="25.15" hidden="1" customHeight="1" x14ac:dyDescent="0.5">
      <c r="A63" s="39">
        <v>4</v>
      </c>
      <c r="B63" s="30" t="s">
        <v>3</v>
      </c>
      <c r="C63" s="1">
        <v>0.7</v>
      </c>
      <c r="D63" s="1" t="s">
        <v>96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ht="25.15" customHeight="1" x14ac:dyDescent="0.5">
      <c r="A64" s="39">
        <v>5</v>
      </c>
      <c r="B64" s="30" t="s">
        <v>2</v>
      </c>
      <c r="C64" s="1">
        <v>0.35</v>
      </c>
      <c r="D64" s="1" t="s">
        <v>98</v>
      </c>
      <c r="E64" s="29"/>
      <c r="F64" s="29"/>
      <c r="G64" s="29">
        <f>F64*C64</f>
        <v>0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</row>
    <row r="65" spans="1:43" ht="25.15" hidden="1" customHeight="1" x14ac:dyDescent="0.5">
      <c r="A65" s="39">
        <v>6</v>
      </c>
      <c r="B65" s="30" t="s">
        <v>1</v>
      </c>
      <c r="C65" s="1">
        <v>0.17499999999999999</v>
      </c>
      <c r="D65" s="1" t="s">
        <v>100</v>
      </c>
      <c r="E65" s="29"/>
      <c r="F65" s="29"/>
      <c r="G65" s="29">
        <f t="shared" ref="G65:G67" si="7">F65*C65</f>
        <v>0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</row>
    <row r="66" spans="1:43" ht="25.15" hidden="1" customHeight="1" x14ac:dyDescent="0.5">
      <c r="A66" s="39">
        <v>7</v>
      </c>
      <c r="B66" s="30" t="s">
        <v>0</v>
      </c>
      <c r="C66" s="1">
        <v>0.7</v>
      </c>
      <c r="D66" s="1" t="s">
        <v>96</v>
      </c>
      <c r="E66" s="29"/>
      <c r="F66" s="29"/>
      <c r="G66" s="29">
        <f t="shared" si="7"/>
        <v>0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</row>
    <row r="67" spans="1:43" ht="25.15" customHeight="1" x14ac:dyDescent="0.5">
      <c r="A67" s="39">
        <v>8</v>
      </c>
      <c r="B67" s="30" t="s">
        <v>8</v>
      </c>
      <c r="C67" s="1">
        <v>0.7</v>
      </c>
      <c r="D67" s="1" t="s">
        <v>96</v>
      </c>
      <c r="E67" s="29"/>
      <c r="F67" s="29"/>
      <c r="G67" s="29">
        <f t="shared" si="7"/>
        <v>0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</row>
    <row r="68" spans="1:43" ht="25.15" hidden="1" customHeight="1" x14ac:dyDescent="0.5">
      <c r="A68" s="39">
        <v>9</v>
      </c>
      <c r="B68" s="30" t="s">
        <v>7</v>
      </c>
      <c r="C68" s="1">
        <v>0.35</v>
      </c>
      <c r="D68" s="1" t="s">
        <v>98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</row>
    <row r="69" spans="1:43" ht="25.15" customHeight="1" x14ac:dyDescent="0.5">
      <c r="A69" s="46"/>
      <c r="B69" s="239" t="s">
        <v>10</v>
      </c>
      <c r="C69" s="240"/>
      <c r="D69" s="241"/>
      <c r="E69" s="22">
        <f t="shared" ref="E69:AN69" si="8">SUM(E60:E68)</f>
        <v>0</v>
      </c>
      <c r="F69" s="22">
        <f t="shared" si="8"/>
        <v>0</v>
      </c>
      <c r="G69" s="22">
        <f>SUM(G60:G68)</f>
        <v>0</v>
      </c>
      <c r="H69" s="22">
        <f t="shared" si="8"/>
        <v>0</v>
      </c>
      <c r="I69" s="22">
        <f t="shared" si="8"/>
        <v>0</v>
      </c>
      <c r="J69" s="22">
        <f t="shared" si="8"/>
        <v>0</v>
      </c>
      <c r="K69" s="22">
        <f t="shared" si="8"/>
        <v>0</v>
      </c>
      <c r="L69" s="22">
        <f t="shared" si="8"/>
        <v>0</v>
      </c>
      <c r="M69" s="22">
        <f t="shared" si="8"/>
        <v>0</v>
      </c>
      <c r="N69" s="22">
        <f t="shared" si="8"/>
        <v>0</v>
      </c>
      <c r="O69" s="22">
        <f t="shared" si="8"/>
        <v>0</v>
      </c>
      <c r="P69" s="22">
        <f t="shared" si="8"/>
        <v>0</v>
      </c>
      <c r="Q69" s="22">
        <f t="shared" si="8"/>
        <v>0</v>
      </c>
      <c r="R69" s="22">
        <f t="shared" si="8"/>
        <v>0</v>
      </c>
      <c r="S69" s="22">
        <f t="shared" si="8"/>
        <v>0</v>
      </c>
      <c r="T69" s="22">
        <f t="shared" si="8"/>
        <v>0</v>
      </c>
      <c r="U69" s="22">
        <f t="shared" si="8"/>
        <v>0</v>
      </c>
      <c r="V69" s="22">
        <f t="shared" si="8"/>
        <v>0</v>
      </c>
      <c r="W69" s="22">
        <f t="shared" si="8"/>
        <v>0</v>
      </c>
      <c r="X69" s="22">
        <f t="shared" si="8"/>
        <v>0</v>
      </c>
      <c r="Y69" s="22">
        <f t="shared" si="8"/>
        <v>0</v>
      </c>
      <c r="Z69" s="22">
        <f t="shared" si="8"/>
        <v>0</v>
      </c>
      <c r="AA69" s="22">
        <f t="shared" si="8"/>
        <v>0</v>
      </c>
      <c r="AB69" s="22">
        <f t="shared" si="8"/>
        <v>0</v>
      </c>
      <c r="AC69" s="22">
        <f t="shared" si="8"/>
        <v>0</v>
      </c>
      <c r="AD69" s="22">
        <f t="shared" si="8"/>
        <v>0</v>
      </c>
      <c r="AE69" s="22">
        <f t="shared" si="8"/>
        <v>0</v>
      </c>
      <c r="AF69" s="22">
        <f t="shared" si="8"/>
        <v>0</v>
      </c>
      <c r="AG69" s="22">
        <f t="shared" si="8"/>
        <v>0</v>
      </c>
      <c r="AH69" s="22">
        <f t="shared" si="8"/>
        <v>0</v>
      </c>
      <c r="AI69" s="22">
        <f t="shared" si="8"/>
        <v>0</v>
      </c>
      <c r="AJ69" s="22">
        <f t="shared" si="8"/>
        <v>0</v>
      </c>
      <c r="AK69" s="22">
        <f t="shared" si="8"/>
        <v>0</v>
      </c>
      <c r="AL69" s="22">
        <f t="shared" si="8"/>
        <v>0</v>
      </c>
      <c r="AM69" s="22">
        <f t="shared" si="8"/>
        <v>0</v>
      </c>
      <c r="AN69" s="22">
        <f t="shared" si="8"/>
        <v>0</v>
      </c>
      <c r="AO69" s="22">
        <f t="shared" ref="AO69:AQ69" si="9">SUM(AO60:AO68)</f>
        <v>0</v>
      </c>
      <c r="AP69" s="22">
        <f t="shared" si="9"/>
        <v>0</v>
      </c>
      <c r="AQ69" s="22">
        <f t="shared" si="9"/>
        <v>0</v>
      </c>
    </row>
    <row r="70" spans="1:43" s="44" customFormat="1" ht="25.15" customHeight="1" x14ac:dyDescent="0.5">
      <c r="A70" s="45"/>
      <c r="B70" s="242" t="s">
        <v>49</v>
      </c>
      <c r="C70" s="243"/>
      <c r="D70" s="244"/>
      <c r="E70" s="38">
        <f t="shared" ref="E70:F70" si="10">E58+E69</f>
        <v>0</v>
      </c>
      <c r="F70" s="38">
        <f t="shared" si="10"/>
        <v>0</v>
      </c>
      <c r="G70" s="38">
        <f>G58+G69</f>
        <v>0</v>
      </c>
      <c r="H70" s="38">
        <f t="shared" ref="H70" si="11">H58+H69</f>
        <v>0</v>
      </c>
      <c r="I70" s="38"/>
      <c r="J70" s="37">
        <f t="shared" ref="J70:K70" si="12">J58+J69</f>
        <v>0</v>
      </c>
      <c r="K70" s="38">
        <f t="shared" si="12"/>
        <v>0</v>
      </c>
      <c r="L70" s="38"/>
      <c r="M70" s="37">
        <f t="shared" ref="M70:N70" si="13">M58+M69</f>
        <v>0</v>
      </c>
      <c r="N70" s="38">
        <f t="shared" si="13"/>
        <v>0</v>
      </c>
      <c r="O70" s="38"/>
      <c r="P70" s="37">
        <f t="shared" ref="P70:Q70" si="14">P58+P69</f>
        <v>0</v>
      </c>
      <c r="Q70" s="38">
        <f t="shared" si="14"/>
        <v>0</v>
      </c>
      <c r="R70" s="38"/>
      <c r="S70" s="37">
        <f t="shared" ref="S70:T70" si="15">S58+S69</f>
        <v>0</v>
      </c>
      <c r="T70" s="38">
        <f t="shared" si="15"/>
        <v>0</v>
      </c>
      <c r="U70" s="38"/>
      <c r="V70" s="37">
        <f t="shared" ref="V70:W70" si="16">V58+V69</f>
        <v>0</v>
      </c>
      <c r="W70" s="38">
        <f t="shared" si="16"/>
        <v>0</v>
      </c>
      <c r="X70" s="38"/>
      <c r="Y70" s="37">
        <f t="shared" ref="Y70:Z70" si="17">Y58+Y69</f>
        <v>0</v>
      </c>
      <c r="Z70" s="38">
        <f t="shared" si="17"/>
        <v>0</v>
      </c>
      <c r="AA70" s="38"/>
      <c r="AB70" s="37">
        <f t="shared" ref="AB70:AC70" si="18">AB58+AB69</f>
        <v>0</v>
      </c>
      <c r="AC70" s="38">
        <f t="shared" si="18"/>
        <v>11</v>
      </c>
      <c r="AD70" s="38"/>
      <c r="AE70" s="37">
        <f t="shared" ref="AE70:AF70" si="19">AE58+AE69</f>
        <v>132</v>
      </c>
      <c r="AF70" s="38">
        <f t="shared" si="19"/>
        <v>20</v>
      </c>
      <c r="AG70" s="38"/>
      <c r="AH70" s="37">
        <f t="shared" ref="AH70:AI70" si="20">AH58+AH69</f>
        <v>240</v>
      </c>
      <c r="AI70" s="38">
        <f t="shared" si="20"/>
        <v>0</v>
      </c>
      <c r="AJ70" s="38"/>
      <c r="AK70" s="37">
        <f t="shared" ref="AK70:AL70" si="21">AK58+AK69</f>
        <v>0</v>
      </c>
      <c r="AL70" s="38">
        <f t="shared" si="21"/>
        <v>0</v>
      </c>
      <c r="AM70" s="38"/>
      <c r="AN70" s="37">
        <f t="shared" ref="AN70:AO70" si="22">AN58+AN69</f>
        <v>0</v>
      </c>
      <c r="AO70" s="38">
        <f t="shared" si="22"/>
        <v>0</v>
      </c>
      <c r="AP70" s="38"/>
      <c r="AQ70" s="37">
        <f t="shared" ref="AQ70" si="23">AQ58+AQ69</f>
        <v>0</v>
      </c>
    </row>
    <row r="72" spans="1:43" x14ac:dyDescent="0.5">
      <c r="F72" s="53"/>
      <c r="G72" s="53"/>
    </row>
    <row r="73" spans="1:43" ht="25.15" customHeight="1" x14ac:dyDescent="0.5">
      <c r="B73" s="41" t="s">
        <v>159</v>
      </c>
    </row>
    <row r="74" spans="1:43" ht="15" customHeight="1" x14ac:dyDescent="0.5"/>
    <row r="75" spans="1:43" ht="42.75" customHeight="1" x14ac:dyDescent="0.5">
      <c r="A75" s="245" t="s">
        <v>52</v>
      </c>
      <c r="B75" s="245" t="s">
        <v>51</v>
      </c>
      <c r="C75" s="247" t="s">
        <v>94</v>
      </c>
      <c r="D75" s="247" t="s">
        <v>95</v>
      </c>
      <c r="E75" s="236" t="s">
        <v>19</v>
      </c>
      <c r="F75" s="237"/>
      <c r="G75" s="238"/>
      <c r="H75" s="236" t="s">
        <v>58</v>
      </c>
      <c r="I75" s="237"/>
      <c r="J75" s="238"/>
      <c r="K75" s="236" t="s">
        <v>59</v>
      </c>
      <c r="L75" s="237"/>
      <c r="M75" s="238"/>
      <c r="N75" s="236" t="s">
        <v>60</v>
      </c>
      <c r="O75" s="237"/>
      <c r="P75" s="238"/>
      <c r="Q75" s="236" t="s">
        <v>61</v>
      </c>
      <c r="R75" s="237"/>
      <c r="S75" s="238"/>
      <c r="T75" s="236" t="s">
        <v>62</v>
      </c>
      <c r="U75" s="237"/>
      <c r="V75" s="238"/>
      <c r="W75" s="236" t="s">
        <v>63</v>
      </c>
      <c r="X75" s="237"/>
      <c r="Y75" s="238"/>
      <c r="Z75" s="236" t="s">
        <v>64</v>
      </c>
      <c r="AA75" s="237"/>
      <c r="AB75" s="238"/>
      <c r="AC75" s="236" t="s">
        <v>65</v>
      </c>
      <c r="AD75" s="237"/>
      <c r="AE75" s="238"/>
      <c r="AF75" s="236" t="s">
        <v>18</v>
      </c>
      <c r="AG75" s="237"/>
      <c r="AH75" s="238"/>
      <c r="AI75" s="236" t="s">
        <v>17</v>
      </c>
      <c r="AJ75" s="237"/>
      <c r="AK75" s="238"/>
      <c r="AL75" s="236" t="s">
        <v>16</v>
      </c>
      <c r="AM75" s="237"/>
      <c r="AN75" s="238"/>
      <c r="AO75" s="236" t="s">
        <v>10</v>
      </c>
      <c r="AP75" s="237"/>
      <c r="AQ75" s="238"/>
    </row>
    <row r="76" spans="1:43" ht="25.15" customHeight="1" x14ac:dyDescent="0.5">
      <c r="A76" s="246"/>
      <c r="B76" s="246"/>
      <c r="C76" s="248"/>
      <c r="D76" s="248"/>
      <c r="E76" s="40" t="s">
        <v>50</v>
      </c>
      <c r="F76" s="40" t="s">
        <v>56</v>
      </c>
      <c r="G76" s="40" t="s">
        <v>93</v>
      </c>
      <c r="H76" s="40" t="s">
        <v>50</v>
      </c>
      <c r="I76" s="40" t="s">
        <v>56</v>
      </c>
      <c r="J76" s="40" t="s">
        <v>57</v>
      </c>
      <c r="K76" s="40" t="s">
        <v>50</v>
      </c>
      <c r="L76" s="40" t="s">
        <v>56</v>
      </c>
      <c r="M76" s="40" t="s">
        <v>57</v>
      </c>
      <c r="N76" s="40" t="s">
        <v>50</v>
      </c>
      <c r="O76" s="40" t="s">
        <v>56</v>
      </c>
      <c r="P76" s="40" t="s">
        <v>57</v>
      </c>
      <c r="Q76" s="40" t="s">
        <v>50</v>
      </c>
      <c r="R76" s="40" t="s">
        <v>56</v>
      </c>
      <c r="S76" s="40" t="s">
        <v>57</v>
      </c>
      <c r="T76" s="40" t="s">
        <v>50</v>
      </c>
      <c r="U76" s="40" t="s">
        <v>56</v>
      </c>
      <c r="V76" s="40" t="s">
        <v>57</v>
      </c>
      <c r="W76" s="40" t="s">
        <v>50</v>
      </c>
      <c r="X76" s="40" t="s">
        <v>56</v>
      </c>
      <c r="Y76" s="40" t="s">
        <v>57</v>
      </c>
      <c r="Z76" s="40" t="s">
        <v>50</v>
      </c>
      <c r="AA76" s="40" t="s">
        <v>56</v>
      </c>
      <c r="AB76" s="40" t="s">
        <v>57</v>
      </c>
      <c r="AC76" s="40" t="s">
        <v>50</v>
      </c>
      <c r="AD76" s="40" t="s">
        <v>56</v>
      </c>
      <c r="AE76" s="40" t="s">
        <v>57</v>
      </c>
      <c r="AF76" s="40" t="s">
        <v>50</v>
      </c>
      <c r="AG76" s="40" t="s">
        <v>56</v>
      </c>
      <c r="AH76" s="40" t="s">
        <v>57</v>
      </c>
      <c r="AI76" s="40" t="s">
        <v>50</v>
      </c>
      <c r="AJ76" s="40" t="s">
        <v>56</v>
      </c>
      <c r="AK76" s="40" t="s">
        <v>57</v>
      </c>
      <c r="AL76" s="40" t="s">
        <v>50</v>
      </c>
      <c r="AM76" s="40" t="s">
        <v>56</v>
      </c>
      <c r="AN76" s="40" t="s">
        <v>57</v>
      </c>
      <c r="AO76" s="40" t="s">
        <v>50</v>
      </c>
      <c r="AP76" s="40" t="s">
        <v>56</v>
      </c>
      <c r="AQ76" s="40" t="s">
        <v>57</v>
      </c>
    </row>
    <row r="77" spans="1:43" s="43" customFormat="1" ht="25.15" customHeight="1" x14ac:dyDescent="0.5">
      <c r="A77" s="31">
        <v>1</v>
      </c>
      <c r="B77" s="49" t="s">
        <v>67</v>
      </c>
      <c r="C77" s="34">
        <v>0.7</v>
      </c>
      <c r="D77" s="34" t="s">
        <v>96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</row>
    <row r="78" spans="1:43" s="43" customFormat="1" ht="25.15" hidden="1" customHeight="1" x14ac:dyDescent="0.5">
      <c r="A78" s="31">
        <v>2</v>
      </c>
      <c r="B78" s="49"/>
      <c r="C78" s="34"/>
      <c r="D78" s="34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</row>
    <row r="79" spans="1:43" ht="25.15" hidden="1" customHeight="1" x14ac:dyDescent="0.5">
      <c r="A79" s="31">
        <v>3</v>
      </c>
      <c r="B79" s="49" t="s">
        <v>68</v>
      </c>
      <c r="C79" s="30">
        <v>1</v>
      </c>
      <c r="D79" s="30" t="s">
        <v>96</v>
      </c>
      <c r="E79" s="28"/>
      <c r="F79" s="28"/>
      <c r="G79" s="29"/>
      <c r="H79" s="28"/>
      <c r="I79" s="28"/>
      <c r="J79" s="29"/>
      <c r="K79" s="28"/>
      <c r="L79" s="28"/>
      <c r="M79" s="29"/>
      <c r="N79" s="28"/>
      <c r="O79" s="28"/>
      <c r="P79" s="29"/>
      <c r="Q79" s="28"/>
      <c r="R79" s="28"/>
      <c r="S79" s="29"/>
      <c r="T79" s="28"/>
      <c r="U79" s="28"/>
      <c r="V79" s="29"/>
      <c r="W79" s="28"/>
      <c r="X79" s="28"/>
      <c r="Y79" s="29"/>
      <c r="Z79" s="28"/>
      <c r="AA79" s="28"/>
      <c r="AB79" s="29"/>
      <c r="AC79" s="28"/>
      <c r="AD79" s="28"/>
      <c r="AE79" s="29"/>
      <c r="AF79" s="28"/>
      <c r="AG79" s="28"/>
      <c r="AH79" s="29"/>
      <c r="AI79" s="28"/>
      <c r="AJ79" s="28"/>
      <c r="AK79" s="29"/>
      <c r="AL79" s="28"/>
      <c r="AM79" s="28"/>
      <c r="AN79" s="29"/>
      <c r="AO79" s="28"/>
      <c r="AP79" s="28"/>
      <c r="AQ79" s="29"/>
    </row>
    <row r="80" spans="1:43" ht="25.15" customHeight="1" x14ac:dyDescent="0.5">
      <c r="A80" s="31">
        <v>4</v>
      </c>
      <c r="B80" s="49" t="s">
        <v>69</v>
      </c>
      <c r="C80" s="30">
        <v>1</v>
      </c>
      <c r="D80" s="30" t="s">
        <v>96</v>
      </c>
      <c r="E80" s="28"/>
      <c r="F80" s="28"/>
      <c r="G80" s="29"/>
      <c r="H80" s="28">
        <v>5</v>
      </c>
      <c r="I80" s="28">
        <v>60</v>
      </c>
      <c r="J80" s="28">
        <v>60</v>
      </c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</row>
    <row r="81" spans="1:43" ht="25.15" hidden="1" customHeight="1" x14ac:dyDescent="0.5">
      <c r="A81" s="31">
        <v>5</v>
      </c>
      <c r="B81" s="49" t="s">
        <v>70</v>
      </c>
      <c r="C81" s="30"/>
      <c r="D81" s="30"/>
      <c r="E81" s="28"/>
      <c r="F81" s="28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</row>
    <row r="82" spans="1:43" ht="25.15" hidden="1" customHeight="1" x14ac:dyDescent="0.5">
      <c r="A82" s="31">
        <v>6</v>
      </c>
      <c r="B82" s="49" t="s">
        <v>71</v>
      </c>
      <c r="C82" s="30">
        <v>0.35</v>
      </c>
      <c r="D82" s="30" t="s">
        <v>97</v>
      </c>
      <c r="E82" s="28"/>
      <c r="F82" s="28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</row>
    <row r="83" spans="1:43" ht="25.15" hidden="1" customHeight="1" x14ac:dyDescent="0.5">
      <c r="A83" s="31">
        <v>7</v>
      </c>
      <c r="B83" s="49" t="s">
        <v>72</v>
      </c>
      <c r="C83" s="30"/>
      <c r="D83" s="30"/>
      <c r="E83" s="28"/>
      <c r="F83" s="28"/>
      <c r="G83" s="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</row>
    <row r="84" spans="1:43" ht="25.15" customHeight="1" x14ac:dyDescent="0.5">
      <c r="A84" s="31">
        <v>8</v>
      </c>
      <c r="B84" s="1" t="s">
        <v>118</v>
      </c>
      <c r="C84" s="30">
        <v>0.64</v>
      </c>
      <c r="D84" s="30" t="s">
        <v>99</v>
      </c>
      <c r="E84" s="28"/>
      <c r="F84" s="28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</row>
    <row r="85" spans="1:43" ht="25.15" hidden="1" customHeight="1" x14ac:dyDescent="0.5">
      <c r="A85" s="31">
        <v>9</v>
      </c>
      <c r="B85" s="49" t="s">
        <v>73</v>
      </c>
      <c r="C85" s="30"/>
      <c r="D85" s="30"/>
      <c r="E85" s="28"/>
      <c r="F85" s="28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</row>
    <row r="86" spans="1:43" ht="25.15" hidden="1" customHeight="1" x14ac:dyDescent="0.5">
      <c r="A86" s="31">
        <v>10</v>
      </c>
      <c r="B86" s="49" t="s">
        <v>73</v>
      </c>
      <c r="C86" s="30"/>
      <c r="D86" s="30"/>
      <c r="E86" s="28"/>
      <c r="F86" s="28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</row>
    <row r="87" spans="1:43" ht="25.15" hidden="1" customHeight="1" x14ac:dyDescent="0.5">
      <c r="A87" s="31">
        <v>11</v>
      </c>
      <c r="B87" s="49"/>
      <c r="C87" s="30"/>
      <c r="D87" s="30"/>
      <c r="E87" s="28"/>
      <c r="F87" s="28"/>
      <c r="G87" s="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</row>
    <row r="88" spans="1:43" ht="25.15" customHeight="1" x14ac:dyDescent="0.5">
      <c r="A88" s="31">
        <v>12</v>
      </c>
      <c r="B88" s="49" t="s">
        <v>74</v>
      </c>
      <c r="C88" s="30">
        <v>1</v>
      </c>
      <c r="D88" s="30" t="s">
        <v>96</v>
      </c>
      <c r="E88" s="28"/>
      <c r="F88" s="28"/>
      <c r="G88" s="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</row>
    <row r="89" spans="1:43" ht="25.15" customHeight="1" x14ac:dyDescent="0.5">
      <c r="A89" s="31">
        <v>13</v>
      </c>
      <c r="B89" s="49" t="s">
        <v>75</v>
      </c>
      <c r="C89" s="30">
        <v>1</v>
      </c>
      <c r="D89" s="30" t="s">
        <v>96</v>
      </c>
      <c r="E89" s="28">
        <v>10</v>
      </c>
      <c r="F89" s="28">
        <v>120</v>
      </c>
      <c r="G89" s="29">
        <v>120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1:43" ht="25.15" hidden="1" customHeight="1" x14ac:dyDescent="0.5">
      <c r="A90" s="31">
        <v>14</v>
      </c>
      <c r="B90" s="49" t="s">
        <v>76</v>
      </c>
      <c r="C90" s="30"/>
      <c r="D90" s="30"/>
      <c r="E90" s="28"/>
      <c r="F90" s="28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</row>
    <row r="91" spans="1:43" s="43" customFormat="1" ht="25.15" hidden="1" customHeight="1" x14ac:dyDescent="0.5">
      <c r="A91" s="31">
        <v>15</v>
      </c>
      <c r="B91" s="49" t="s">
        <v>77</v>
      </c>
      <c r="C91" s="34"/>
      <c r="D91" s="34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</row>
    <row r="92" spans="1:43" ht="25.15" hidden="1" customHeight="1" x14ac:dyDescent="0.5">
      <c r="A92" s="31">
        <v>16</v>
      </c>
      <c r="B92" s="49" t="s">
        <v>78</v>
      </c>
      <c r="C92" s="30"/>
      <c r="D92" s="30"/>
      <c r="E92" s="28"/>
      <c r="F92" s="28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</row>
    <row r="93" spans="1:43" ht="25.15" hidden="1" customHeight="1" x14ac:dyDescent="0.5">
      <c r="A93" s="31">
        <v>17</v>
      </c>
      <c r="B93" s="49" t="s">
        <v>79</v>
      </c>
      <c r="C93" s="30"/>
      <c r="D93" s="30"/>
      <c r="E93" s="28"/>
      <c r="F93" s="28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</row>
    <row r="94" spans="1:43" ht="25.15" hidden="1" customHeight="1" x14ac:dyDescent="0.5">
      <c r="A94" s="31">
        <v>18</v>
      </c>
      <c r="B94" s="49" t="s">
        <v>80</v>
      </c>
      <c r="C94" s="30"/>
      <c r="D94" s="30"/>
      <c r="E94" s="28"/>
      <c r="F94" s="28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</row>
    <row r="95" spans="1:43" ht="24" hidden="1" customHeight="1" x14ac:dyDescent="0.5">
      <c r="A95" s="31">
        <v>19</v>
      </c>
      <c r="B95" s="49" t="s">
        <v>81</v>
      </c>
      <c r="C95" s="30"/>
      <c r="D95" s="30"/>
      <c r="E95" s="28"/>
      <c r="F95" s="28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1:43" ht="24" hidden="1" customHeight="1" x14ac:dyDescent="0.5">
      <c r="A96" s="31">
        <v>20</v>
      </c>
      <c r="B96" s="49" t="s">
        <v>82</v>
      </c>
      <c r="C96" s="30"/>
      <c r="D96" s="30"/>
      <c r="E96" s="28"/>
      <c r="F96" s="28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</row>
    <row r="97" spans="1:43" ht="24" hidden="1" customHeight="1" x14ac:dyDescent="0.5">
      <c r="A97" s="31">
        <v>21</v>
      </c>
      <c r="B97" s="49" t="s">
        <v>83</v>
      </c>
      <c r="C97" s="30">
        <v>1</v>
      </c>
      <c r="D97" s="30" t="s">
        <v>96</v>
      </c>
      <c r="E97" s="28"/>
      <c r="F97" s="28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</row>
    <row r="98" spans="1:43" ht="24" hidden="1" customHeight="1" x14ac:dyDescent="0.5">
      <c r="A98" s="31">
        <v>22</v>
      </c>
      <c r="B98" s="49" t="s">
        <v>84</v>
      </c>
      <c r="C98" s="30"/>
      <c r="D98" s="30"/>
      <c r="E98" s="28"/>
      <c r="F98" s="28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</row>
    <row r="99" spans="1:43" ht="24" customHeight="1" x14ac:dyDescent="0.5">
      <c r="A99" s="31">
        <v>23</v>
      </c>
      <c r="B99" s="49" t="s">
        <v>85</v>
      </c>
      <c r="C99" s="30"/>
      <c r="D99" s="30"/>
      <c r="E99" s="28"/>
      <c r="F99" s="28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</row>
    <row r="100" spans="1:43" ht="24" hidden="1" customHeight="1" x14ac:dyDescent="0.5">
      <c r="A100" s="31">
        <v>24</v>
      </c>
      <c r="B100" s="49" t="s">
        <v>86</v>
      </c>
      <c r="C100" s="30"/>
      <c r="D100" s="30"/>
      <c r="E100" s="28"/>
      <c r="F100" s="28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</row>
    <row r="101" spans="1:43" ht="24" hidden="1" customHeight="1" x14ac:dyDescent="0.5">
      <c r="A101" s="31">
        <v>25</v>
      </c>
      <c r="B101" s="49" t="s">
        <v>87</v>
      </c>
      <c r="C101" s="30"/>
      <c r="D101" s="30"/>
      <c r="E101" s="28"/>
      <c r="F101" s="28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</row>
    <row r="102" spans="1:43" ht="24" hidden="1" customHeight="1" x14ac:dyDescent="0.5">
      <c r="A102" s="31">
        <v>26</v>
      </c>
      <c r="B102" s="49" t="s">
        <v>88</v>
      </c>
      <c r="C102" s="30"/>
      <c r="D102" s="30"/>
      <c r="E102" s="28"/>
      <c r="F102" s="28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</row>
    <row r="103" spans="1:43" ht="24" hidden="1" customHeight="1" x14ac:dyDescent="0.5">
      <c r="A103" s="31">
        <v>27</v>
      </c>
      <c r="B103" s="49" t="s">
        <v>89</v>
      </c>
      <c r="C103" s="39"/>
      <c r="D103" s="30"/>
      <c r="E103" s="28"/>
      <c r="F103" s="28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</row>
    <row r="104" spans="1:43" ht="24" customHeight="1" x14ac:dyDescent="0.5">
      <c r="A104" s="31"/>
      <c r="B104" s="49" t="s">
        <v>89</v>
      </c>
      <c r="C104" s="39">
        <v>0.64</v>
      </c>
      <c r="D104" s="30" t="s">
        <v>99</v>
      </c>
      <c r="E104" s="28"/>
      <c r="F104" s="28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</row>
    <row r="105" spans="1:43" ht="24" customHeight="1" x14ac:dyDescent="0.5">
      <c r="A105" s="31">
        <v>28</v>
      </c>
      <c r="B105" s="49" t="s">
        <v>88</v>
      </c>
      <c r="C105" s="30">
        <v>0.64</v>
      </c>
      <c r="D105" s="30" t="s">
        <v>99</v>
      </c>
      <c r="E105" s="28"/>
      <c r="F105" s="28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</row>
    <row r="106" spans="1:43" ht="24" hidden="1" customHeight="1" x14ac:dyDescent="0.5">
      <c r="A106" s="31">
        <v>29</v>
      </c>
      <c r="B106" s="49" t="s">
        <v>88</v>
      </c>
      <c r="C106" s="30">
        <v>0.64</v>
      </c>
      <c r="D106" s="30" t="s">
        <v>98</v>
      </c>
      <c r="E106" s="28"/>
      <c r="F106" s="28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</row>
    <row r="107" spans="1:43" ht="24" hidden="1" customHeight="1" x14ac:dyDescent="0.5">
      <c r="A107" s="31">
        <v>30</v>
      </c>
      <c r="B107" s="49" t="s">
        <v>9</v>
      </c>
      <c r="C107" s="30">
        <v>0.64</v>
      </c>
      <c r="D107" s="30" t="s">
        <v>99</v>
      </c>
      <c r="E107" s="28"/>
      <c r="F107" s="28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</row>
    <row r="108" spans="1:43" ht="24" customHeight="1" x14ac:dyDescent="0.5">
      <c r="A108" s="31">
        <v>31</v>
      </c>
      <c r="B108" s="30" t="s">
        <v>90</v>
      </c>
      <c r="C108" s="30">
        <v>1</v>
      </c>
      <c r="D108" s="30" t="s">
        <v>96</v>
      </c>
      <c r="E108" s="28"/>
      <c r="F108" s="28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</row>
    <row r="109" spans="1:43" ht="24" hidden="1" customHeight="1" x14ac:dyDescent="0.5">
      <c r="A109" s="31">
        <v>32</v>
      </c>
      <c r="B109" s="30" t="s">
        <v>91</v>
      </c>
      <c r="C109" s="30"/>
      <c r="D109" s="30"/>
      <c r="E109" s="28"/>
      <c r="F109" s="28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</row>
    <row r="110" spans="1:43" ht="24" hidden="1" customHeight="1" x14ac:dyDescent="0.5">
      <c r="A110" s="31">
        <v>33</v>
      </c>
      <c r="B110" s="30" t="s">
        <v>91</v>
      </c>
      <c r="C110" s="30"/>
      <c r="D110" s="30"/>
      <c r="E110" s="28"/>
      <c r="F110" s="28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</row>
    <row r="111" spans="1:43" ht="24" customHeight="1" x14ac:dyDescent="0.5">
      <c r="A111" s="31">
        <v>34</v>
      </c>
      <c r="B111" s="30" t="s">
        <v>92</v>
      </c>
      <c r="C111" s="30">
        <v>0.64</v>
      </c>
      <c r="D111" s="30" t="s">
        <v>98</v>
      </c>
      <c r="E111" s="28"/>
      <c r="F111" s="28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ht="24" hidden="1" customHeight="1" x14ac:dyDescent="0.5">
      <c r="A112" s="31">
        <v>35</v>
      </c>
      <c r="B112" s="30"/>
      <c r="C112" s="30"/>
      <c r="D112" s="30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spans="1:43" ht="24" hidden="1" customHeight="1" x14ac:dyDescent="0.5">
      <c r="A113" s="31">
        <v>36</v>
      </c>
      <c r="B113" s="30"/>
      <c r="C113" s="30"/>
      <c r="D113" s="30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</row>
    <row r="114" spans="1:43" ht="24" hidden="1" customHeight="1" x14ac:dyDescent="0.5">
      <c r="A114" s="31">
        <v>37</v>
      </c>
      <c r="B114" s="30"/>
      <c r="C114" s="30"/>
      <c r="D114" s="30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</row>
    <row r="115" spans="1:43" s="41" customFormat="1" ht="24" customHeight="1" x14ac:dyDescent="0.5">
      <c r="A115" s="24"/>
      <c r="B115" s="239" t="s">
        <v>10</v>
      </c>
      <c r="C115" s="240"/>
      <c r="D115" s="241"/>
      <c r="E115" s="22">
        <f>SUM(E77:E114)</f>
        <v>10</v>
      </c>
      <c r="F115" s="22">
        <f t="shared" ref="F115" si="24">SUM(F77:F114)</f>
        <v>120</v>
      </c>
      <c r="G115" s="22">
        <f>SUM(G77:G114)</f>
        <v>120</v>
      </c>
      <c r="H115" s="22">
        <f t="shared" ref="H115:AE115" si="25">SUM(H77:H114)</f>
        <v>5</v>
      </c>
      <c r="I115" s="22">
        <f t="shared" si="25"/>
        <v>60</v>
      </c>
      <c r="J115" s="22">
        <f t="shared" si="25"/>
        <v>60</v>
      </c>
      <c r="K115" s="22">
        <f t="shared" si="25"/>
        <v>0</v>
      </c>
      <c r="L115" s="22">
        <f t="shared" si="25"/>
        <v>0</v>
      </c>
      <c r="M115" s="22">
        <f t="shared" si="25"/>
        <v>0</v>
      </c>
      <c r="N115" s="22">
        <f t="shared" si="25"/>
        <v>0</v>
      </c>
      <c r="O115" s="22">
        <f t="shared" si="25"/>
        <v>0</v>
      </c>
      <c r="P115" s="22">
        <f t="shared" si="25"/>
        <v>0</v>
      </c>
      <c r="Q115" s="22">
        <f t="shared" si="25"/>
        <v>0</v>
      </c>
      <c r="R115" s="22">
        <f t="shared" si="25"/>
        <v>0</v>
      </c>
      <c r="S115" s="22">
        <f t="shared" si="25"/>
        <v>0</v>
      </c>
      <c r="T115" s="22">
        <f t="shared" si="25"/>
        <v>0</v>
      </c>
      <c r="U115" s="22">
        <f t="shared" si="25"/>
        <v>0</v>
      </c>
      <c r="V115" s="22">
        <f t="shared" si="25"/>
        <v>0</v>
      </c>
      <c r="W115" s="22">
        <f t="shared" si="25"/>
        <v>0</v>
      </c>
      <c r="X115" s="22">
        <f t="shared" si="25"/>
        <v>0</v>
      </c>
      <c r="Y115" s="22">
        <f t="shared" si="25"/>
        <v>0</v>
      </c>
      <c r="Z115" s="22">
        <f t="shared" si="25"/>
        <v>0</v>
      </c>
      <c r="AA115" s="22">
        <f t="shared" si="25"/>
        <v>0</v>
      </c>
      <c r="AB115" s="22">
        <f t="shared" si="25"/>
        <v>0</v>
      </c>
      <c r="AC115" s="22">
        <f t="shared" si="25"/>
        <v>0</v>
      </c>
      <c r="AD115" s="22">
        <f t="shared" si="25"/>
        <v>0</v>
      </c>
      <c r="AE115" s="22">
        <f t="shared" si="25"/>
        <v>0</v>
      </c>
      <c r="AF115" s="22">
        <f>SUM(AF77:AF114)</f>
        <v>0</v>
      </c>
      <c r="AG115" s="22">
        <f t="shared" ref="AG115:AQ115" si="26">SUM(AG77:AG114)</f>
        <v>0</v>
      </c>
      <c r="AH115" s="22">
        <f t="shared" si="26"/>
        <v>0</v>
      </c>
      <c r="AI115" s="22">
        <f t="shared" si="26"/>
        <v>0</v>
      </c>
      <c r="AJ115" s="22">
        <f t="shared" si="26"/>
        <v>0</v>
      </c>
      <c r="AK115" s="22">
        <f t="shared" si="26"/>
        <v>0</v>
      </c>
      <c r="AL115" s="22">
        <f t="shared" si="26"/>
        <v>0</v>
      </c>
      <c r="AM115" s="22">
        <f t="shared" si="26"/>
        <v>0</v>
      </c>
      <c r="AN115" s="22">
        <f t="shared" si="26"/>
        <v>0</v>
      </c>
      <c r="AO115" s="22">
        <f t="shared" si="26"/>
        <v>0</v>
      </c>
      <c r="AP115" s="22">
        <f t="shared" si="26"/>
        <v>0</v>
      </c>
      <c r="AQ115" s="22">
        <f t="shared" si="26"/>
        <v>0</v>
      </c>
    </row>
    <row r="116" spans="1:43" ht="24" hidden="1" customHeight="1" x14ac:dyDescent="0.5">
      <c r="A116" s="39"/>
      <c r="B116" s="30"/>
      <c r="C116" s="30"/>
      <c r="D116" s="30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</row>
    <row r="117" spans="1:43" ht="25.15" hidden="1" customHeight="1" x14ac:dyDescent="0.5">
      <c r="A117" s="39">
        <v>1</v>
      </c>
      <c r="B117" s="30" t="s">
        <v>6</v>
      </c>
      <c r="C117" s="1">
        <v>0.7</v>
      </c>
      <c r="D117" s="1" t="s">
        <v>96</v>
      </c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</row>
    <row r="118" spans="1:43" ht="25.15" hidden="1" customHeight="1" x14ac:dyDescent="0.5">
      <c r="A118" s="39">
        <v>2</v>
      </c>
      <c r="B118" s="30" t="s">
        <v>5</v>
      </c>
      <c r="C118" s="1">
        <v>0.35</v>
      </c>
      <c r="D118" s="1" t="s">
        <v>98</v>
      </c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</row>
    <row r="119" spans="1:43" ht="25.15" hidden="1" customHeight="1" x14ac:dyDescent="0.5">
      <c r="A119" s="39">
        <v>3</v>
      </c>
      <c r="B119" s="30" t="s">
        <v>4</v>
      </c>
      <c r="C119" s="1">
        <v>0.17499999999999999</v>
      </c>
      <c r="D119" s="1" t="s">
        <v>100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</row>
    <row r="120" spans="1:43" ht="25.15" hidden="1" customHeight="1" x14ac:dyDescent="0.5">
      <c r="A120" s="39">
        <v>4</v>
      </c>
      <c r="B120" s="30" t="s">
        <v>3</v>
      </c>
      <c r="C120" s="1">
        <v>0.7</v>
      </c>
      <c r="D120" s="1" t="s">
        <v>96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</row>
    <row r="121" spans="1:43" ht="25.15" customHeight="1" x14ac:dyDescent="0.5">
      <c r="A121" s="39">
        <v>5</v>
      </c>
      <c r="B121" s="30" t="s">
        <v>2</v>
      </c>
      <c r="C121" s="1">
        <v>0.35</v>
      </c>
      <c r="D121" s="1" t="s">
        <v>98</v>
      </c>
      <c r="E121" s="29"/>
      <c r="F121" s="29"/>
      <c r="G121" s="29">
        <f>F121*C121</f>
        <v>0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</row>
    <row r="122" spans="1:43" ht="25.15" hidden="1" customHeight="1" x14ac:dyDescent="0.5">
      <c r="A122" s="39">
        <v>6</v>
      </c>
      <c r="B122" s="30" t="s">
        <v>1</v>
      </c>
      <c r="C122" s="1">
        <v>0.17499999999999999</v>
      </c>
      <c r="D122" s="1" t="s">
        <v>100</v>
      </c>
      <c r="E122" s="29"/>
      <c r="F122" s="29"/>
      <c r="G122" s="29">
        <f t="shared" ref="G122:G124" si="27">F122*C122</f>
        <v>0</v>
      </c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</row>
    <row r="123" spans="1:43" ht="25.15" hidden="1" customHeight="1" x14ac:dyDescent="0.5">
      <c r="A123" s="39">
        <v>7</v>
      </c>
      <c r="B123" s="30" t="s">
        <v>0</v>
      </c>
      <c r="C123" s="1">
        <v>0.7</v>
      </c>
      <c r="D123" s="1" t="s">
        <v>96</v>
      </c>
      <c r="E123" s="29"/>
      <c r="F123" s="29"/>
      <c r="G123" s="29">
        <f t="shared" si="27"/>
        <v>0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</row>
    <row r="124" spans="1:43" ht="25.15" customHeight="1" x14ac:dyDescent="0.5">
      <c r="A124" s="39">
        <v>8</v>
      </c>
      <c r="B124" s="30" t="s">
        <v>8</v>
      </c>
      <c r="C124" s="1">
        <v>0.7</v>
      </c>
      <c r="D124" s="1" t="s">
        <v>96</v>
      </c>
      <c r="E124" s="29"/>
      <c r="F124" s="29"/>
      <c r="G124" s="29">
        <f t="shared" si="27"/>
        <v>0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</row>
    <row r="125" spans="1:43" ht="25.15" hidden="1" customHeight="1" x14ac:dyDescent="0.5">
      <c r="A125" s="39">
        <v>9</v>
      </c>
      <c r="B125" s="30" t="s">
        <v>7</v>
      </c>
      <c r="C125" s="1">
        <v>0.35</v>
      </c>
      <c r="D125" s="1" t="s">
        <v>98</v>
      </c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</row>
    <row r="126" spans="1:43" ht="25.15" customHeight="1" x14ac:dyDescent="0.5">
      <c r="A126" s="46"/>
      <c r="B126" s="239" t="s">
        <v>10</v>
      </c>
      <c r="C126" s="240"/>
      <c r="D126" s="241"/>
      <c r="E126" s="22">
        <f t="shared" ref="E126:F126" si="28">SUM(E117:E125)</f>
        <v>0</v>
      </c>
      <c r="F126" s="22">
        <f t="shared" si="28"/>
        <v>0</v>
      </c>
      <c r="G126" s="22">
        <f>SUM(G117:G125)</f>
        <v>0</v>
      </c>
      <c r="H126" s="22">
        <f t="shared" ref="H126:AQ126" si="29">SUM(H117:H125)</f>
        <v>0</v>
      </c>
      <c r="I126" s="22">
        <f t="shared" si="29"/>
        <v>0</v>
      </c>
      <c r="J126" s="22">
        <f t="shared" si="29"/>
        <v>0</v>
      </c>
      <c r="K126" s="22">
        <f t="shared" si="29"/>
        <v>0</v>
      </c>
      <c r="L126" s="22">
        <f t="shared" si="29"/>
        <v>0</v>
      </c>
      <c r="M126" s="22">
        <f t="shared" si="29"/>
        <v>0</v>
      </c>
      <c r="N126" s="22">
        <f t="shared" si="29"/>
        <v>0</v>
      </c>
      <c r="O126" s="22">
        <f t="shared" si="29"/>
        <v>0</v>
      </c>
      <c r="P126" s="22">
        <f t="shared" si="29"/>
        <v>0</v>
      </c>
      <c r="Q126" s="22">
        <f t="shared" si="29"/>
        <v>0</v>
      </c>
      <c r="R126" s="22">
        <f t="shared" si="29"/>
        <v>0</v>
      </c>
      <c r="S126" s="22">
        <f t="shared" si="29"/>
        <v>0</v>
      </c>
      <c r="T126" s="22">
        <f t="shared" si="29"/>
        <v>0</v>
      </c>
      <c r="U126" s="22">
        <f t="shared" si="29"/>
        <v>0</v>
      </c>
      <c r="V126" s="22">
        <f t="shared" si="29"/>
        <v>0</v>
      </c>
      <c r="W126" s="22">
        <f t="shared" si="29"/>
        <v>0</v>
      </c>
      <c r="X126" s="22">
        <f t="shared" si="29"/>
        <v>0</v>
      </c>
      <c r="Y126" s="22">
        <f t="shared" si="29"/>
        <v>0</v>
      </c>
      <c r="Z126" s="22">
        <f t="shared" si="29"/>
        <v>0</v>
      </c>
      <c r="AA126" s="22">
        <f t="shared" si="29"/>
        <v>0</v>
      </c>
      <c r="AB126" s="22">
        <f t="shared" si="29"/>
        <v>0</v>
      </c>
      <c r="AC126" s="22">
        <f t="shared" si="29"/>
        <v>0</v>
      </c>
      <c r="AD126" s="22">
        <f t="shared" si="29"/>
        <v>0</v>
      </c>
      <c r="AE126" s="22">
        <f t="shared" si="29"/>
        <v>0</v>
      </c>
      <c r="AF126" s="22">
        <f t="shared" si="29"/>
        <v>0</v>
      </c>
      <c r="AG126" s="22">
        <f t="shared" si="29"/>
        <v>0</v>
      </c>
      <c r="AH126" s="22">
        <f t="shared" si="29"/>
        <v>0</v>
      </c>
      <c r="AI126" s="22">
        <f t="shared" si="29"/>
        <v>0</v>
      </c>
      <c r="AJ126" s="22">
        <f t="shared" si="29"/>
        <v>0</v>
      </c>
      <c r="AK126" s="22">
        <f t="shared" si="29"/>
        <v>0</v>
      </c>
      <c r="AL126" s="22">
        <f t="shared" si="29"/>
        <v>0</v>
      </c>
      <c r="AM126" s="22">
        <f t="shared" si="29"/>
        <v>0</v>
      </c>
      <c r="AN126" s="22">
        <f t="shared" si="29"/>
        <v>0</v>
      </c>
      <c r="AO126" s="22">
        <f t="shared" si="29"/>
        <v>0</v>
      </c>
      <c r="AP126" s="22">
        <f t="shared" si="29"/>
        <v>0</v>
      </c>
      <c r="AQ126" s="22">
        <f t="shared" si="29"/>
        <v>0</v>
      </c>
    </row>
    <row r="127" spans="1:43" s="44" customFormat="1" ht="25.15" customHeight="1" x14ac:dyDescent="0.5">
      <c r="A127" s="45"/>
      <c r="B127" s="242" t="s">
        <v>49</v>
      </c>
      <c r="C127" s="243"/>
      <c r="D127" s="244"/>
      <c r="E127" s="38">
        <f t="shared" ref="E127:F127" si="30">E115+E126</f>
        <v>10</v>
      </c>
      <c r="F127" s="38">
        <f t="shared" si="30"/>
        <v>120</v>
      </c>
      <c r="G127" s="38">
        <f>G115+G126</f>
        <v>120</v>
      </c>
      <c r="H127" s="38">
        <f t="shared" ref="H127" si="31">H115+H126</f>
        <v>5</v>
      </c>
      <c r="I127" s="38"/>
      <c r="J127" s="37">
        <f t="shared" ref="J127:K127" si="32">J115+J126</f>
        <v>60</v>
      </c>
      <c r="K127" s="38">
        <f t="shared" si="32"/>
        <v>0</v>
      </c>
      <c r="L127" s="38"/>
      <c r="M127" s="37">
        <f t="shared" ref="M127:N127" si="33">M115+M126</f>
        <v>0</v>
      </c>
      <c r="N127" s="38">
        <f t="shared" si="33"/>
        <v>0</v>
      </c>
      <c r="O127" s="38"/>
      <c r="P127" s="37">
        <f t="shared" ref="P127:Q127" si="34">P115+P126</f>
        <v>0</v>
      </c>
      <c r="Q127" s="38">
        <f t="shared" si="34"/>
        <v>0</v>
      </c>
      <c r="R127" s="38"/>
      <c r="S127" s="37">
        <f t="shared" ref="S127:T127" si="35">S115+S126</f>
        <v>0</v>
      </c>
      <c r="T127" s="38">
        <f t="shared" si="35"/>
        <v>0</v>
      </c>
      <c r="U127" s="38"/>
      <c r="V127" s="37">
        <f t="shared" ref="V127:W127" si="36">V115+V126</f>
        <v>0</v>
      </c>
      <c r="W127" s="38">
        <f t="shared" si="36"/>
        <v>0</v>
      </c>
      <c r="X127" s="38"/>
      <c r="Y127" s="37">
        <f t="shared" ref="Y127:Z127" si="37">Y115+Y126</f>
        <v>0</v>
      </c>
      <c r="Z127" s="38">
        <f t="shared" si="37"/>
        <v>0</v>
      </c>
      <c r="AA127" s="38"/>
      <c r="AB127" s="37">
        <f t="shared" ref="AB127:AC127" si="38">AB115+AB126</f>
        <v>0</v>
      </c>
      <c r="AC127" s="38">
        <f t="shared" si="38"/>
        <v>0</v>
      </c>
      <c r="AD127" s="38"/>
      <c r="AE127" s="37">
        <f t="shared" ref="AE127:AF127" si="39">AE115+AE126</f>
        <v>0</v>
      </c>
      <c r="AF127" s="38">
        <f t="shared" si="39"/>
        <v>0</v>
      </c>
      <c r="AG127" s="38"/>
      <c r="AH127" s="37">
        <f t="shared" ref="AH127:AI127" si="40">AH115+AH126</f>
        <v>0</v>
      </c>
      <c r="AI127" s="38">
        <f t="shared" si="40"/>
        <v>0</v>
      </c>
      <c r="AJ127" s="38"/>
      <c r="AK127" s="37">
        <f t="shared" ref="AK127:AL127" si="41">AK115+AK126</f>
        <v>0</v>
      </c>
      <c r="AL127" s="38">
        <f t="shared" si="41"/>
        <v>0</v>
      </c>
      <c r="AM127" s="38"/>
      <c r="AN127" s="37">
        <f t="shared" ref="AN127:AO127" si="42">AN115+AN126</f>
        <v>0</v>
      </c>
      <c r="AO127" s="38">
        <f t="shared" si="42"/>
        <v>0</v>
      </c>
      <c r="AP127" s="38"/>
      <c r="AQ127" s="37">
        <f t="shared" ref="AQ127" si="43">AQ115+AQ126</f>
        <v>0</v>
      </c>
    </row>
  </sheetData>
  <mergeCells count="58">
    <mergeCell ref="AO18:AQ18"/>
    <mergeCell ref="AL3:AN3"/>
    <mergeCell ref="B7:D7"/>
    <mergeCell ref="AO3:AQ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Q18:S18"/>
    <mergeCell ref="AF18:AH18"/>
    <mergeCell ref="A3:A4"/>
    <mergeCell ref="B3:B4"/>
    <mergeCell ref="C3:C4"/>
    <mergeCell ref="D3:D4"/>
    <mergeCell ref="E3:G3"/>
    <mergeCell ref="AI18:AK18"/>
    <mergeCell ref="AL18:AN18"/>
    <mergeCell ref="E18:G18"/>
    <mergeCell ref="H18:J18"/>
    <mergeCell ref="K18:M18"/>
    <mergeCell ref="N18:P18"/>
    <mergeCell ref="T18:V18"/>
    <mergeCell ref="W18:Y18"/>
    <mergeCell ref="Z18:AB18"/>
    <mergeCell ref="AC18:AE18"/>
    <mergeCell ref="B70:D70"/>
    <mergeCell ref="A18:A19"/>
    <mergeCell ref="B18:B19"/>
    <mergeCell ref="C18:C19"/>
    <mergeCell ref="D18:D19"/>
    <mergeCell ref="B69:D69"/>
    <mergeCell ref="B58:D58"/>
    <mergeCell ref="A75:A76"/>
    <mergeCell ref="B75:B76"/>
    <mergeCell ref="C75:C76"/>
    <mergeCell ref="D75:D76"/>
    <mergeCell ref="E75:G75"/>
    <mergeCell ref="AL75:AN75"/>
    <mergeCell ref="AO75:AQ75"/>
    <mergeCell ref="B115:D115"/>
    <mergeCell ref="B126:D126"/>
    <mergeCell ref="B127:D127"/>
    <mergeCell ref="W75:Y75"/>
    <mergeCell ref="Z75:AB75"/>
    <mergeCell ref="AC75:AE75"/>
    <mergeCell ref="AF75:AH75"/>
    <mergeCell ref="AI75:AK75"/>
    <mergeCell ref="H75:J75"/>
    <mergeCell ref="K75:M75"/>
    <mergeCell ref="N75:P75"/>
    <mergeCell ref="Q75:S75"/>
    <mergeCell ref="T75:V7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6BEC-FDE0-4906-B67A-ECB5B5AB0F38}">
  <sheetPr>
    <tabColor rgb="FFFF0000"/>
  </sheetPr>
  <dimension ref="A1:AQ63"/>
  <sheetViews>
    <sheetView workbookViewId="0">
      <pane xSplit="3" ySplit="4" topLeftCell="D30" activePane="bottomRight" state="frozen"/>
      <selection pane="topRight" activeCell="D1" sqref="D1"/>
      <selection pane="bottomLeft" activeCell="A5" sqref="A5"/>
      <selection pane="bottomRight" activeCell="I63" sqref="I63"/>
    </sheetView>
  </sheetViews>
  <sheetFormatPr defaultColWidth="9.7109375" defaultRowHeight="18" x14ac:dyDescent="0.5"/>
  <cols>
    <col min="1" max="1" width="4" style="42" bestFit="1" customWidth="1"/>
    <col min="2" max="2" width="30" style="42" bestFit="1" customWidth="1"/>
    <col min="3" max="3" width="5.28515625" style="42" bestFit="1" customWidth="1"/>
    <col min="4" max="4" width="7.7109375" style="42" bestFit="1" customWidth="1"/>
    <col min="5" max="5" width="6.85546875" style="122" customWidth="1"/>
    <col min="6" max="6" width="8" style="122" customWidth="1"/>
    <col min="7" max="7" width="7.7109375" style="122" customWidth="1"/>
    <col min="8" max="8" width="6.85546875" style="122" customWidth="1"/>
    <col min="9" max="10" width="8" style="122" customWidth="1"/>
    <col min="11" max="11" width="7.140625" style="122" customWidth="1"/>
    <col min="12" max="13" width="8" style="122" customWidth="1"/>
    <col min="14" max="14" width="7.140625" style="122" customWidth="1"/>
    <col min="15" max="16" width="8" style="122" customWidth="1"/>
    <col min="17" max="17" width="7.140625" style="122" bestFit="1" customWidth="1"/>
    <col min="18" max="19" width="8" style="122" bestFit="1" customWidth="1"/>
    <col min="20" max="20" width="6.85546875" style="122" bestFit="1" customWidth="1"/>
    <col min="21" max="22" width="8" style="122" bestFit="1" customWidth="1"/>
    <col min="23" max="23" width="6.85546875" style="122" bestFit="1" customWidth="1"/>
    <col min="24" max="25" width="8" style="122" bestFit="1" customWidth="1"/>
    <col min="26" max="26" width="7.140625" style="122" bestFit="1" customWidth="1"/>
    <col min="27" max="28" width="8" style="122" bestFit="1" customWidth="1"/>
    <col min="29" max="29" width="6.85546875" style="122" bestFit="1" customWidth="1"/>
    <col min="30" max="31" width="8" style="122" bestFit="1" customWidth="1"/>
    <col min="32" max="32" width="6.85546875" style="122" bestFit="1" customWidth="1"/>
    <col min="33" max="34" width="8" style="122" bestFit="1" customWidth="1"/>
    <col min="35" max="35" width="6.85546875" style="122" bestFit="1" customWidth="1"/>
    <col min="36" max="36" width="7.7109375" style="122" bestFit="1" customWidth="1"/>
    <col min="37" max="37" width="8" style="122" bestFit="1" customWidth="1"/>
    <col min="38" max="38" width="7.140625" style="122" bestFit="1" customWidth="1"/>
    <col min="39" max="41" width="8" style="122" bestFit="1" customWidth="1"/>
    <col min="42" max="43" width="9.28515625" style="122" bestFit="1" customWidth="1"/>
    <col min="44" max="16384" width="9.7109375" style="42"/>
  </cols>
  <sheetData>
    <row r="1" spans="1:43" x14ac:dyDescent="0.5">
      <c r="B1" s="41" t="s">
        <v>137</v>
      </c>
    </row>
    <row r="3" spans="1:43" x14ac:dyDescent="0.5">
      <c r="A3" s="245" t="s">
        <v>52</v>
      </c>
      <c r="B3" s="245" t="s">
        <v>51</v>
      </c>
      <c r="C3" s="247" t="s">
        <v>117</v>
      </c>
      <c r="D3" s="247" t="s">
        <v>95</v>
      </c>
      <c r="E3" s="256" t="s">
        <v>114</v>
      </c>
      <c r="F3" s="257"/>
      <c r="G3" s="258"/>
      <c r="H3" s="256" t="s">
        <v>58</v>
      </c>
      <c r="I3" s="257"/>
      <c r="J3" s="258"/>
      <c r="K3" s="256" t="s">
        <v>59</v>
      </c>
      <c r="L3" s="257"/>
      <c r="M3" s="258"/>
      <c r="N3" s="256" t="s">
        <v>60</v>
      </c>
      <c r="O3" s="257"/>
      <c r="P3" s="258"/>
      <c r="Q3" s="256" t="s">
        <v>61</v>
      </c>
      <c r="R3" s="257"/>
      <c r="S3" s="258"/>
      <c r="T3" s="256" t="s">
        <v>62</v>
      </c>
      <c r="U3" s="257"/>
      <c r="V3" s="258"/>
      <c r="W3" s="256" t="s">
        <v>63</v>
      </c>
      <c r="X3" s="257"/>
      <c r="Y3" s="258"/>
      <c r="Z3" s="256" t="s">
        <v>64</v>
      </c>
      <c r="AA3" s="257"/>
      <c r="AB3" s="258"/>
      <c r="AC3" s="256" t="s">
        <v>65</v>
      </c>
      <c r="AD3" s="257"/>
      <c r="AE3" s="258"/>
      <c r="AF3" s="256" t="s">
        <v>18</v>
      </c>
      <c r="AG3" s="257"/>
      <c r="AH3" s="258"/>
      <c r="AI3" s="256" t="s">
        <v>17</v>
      </c>
      <c r="AJ3" s="257"/>
      <c r="AK3" s="258"/>
      <c r="AL3" s="256" t="s">
        <v>16</v>
      </c>
      <c r="AM3" s="257"/>
      <c r="AN3" s="258"/>
      <c r="AO3" s="256" t="s">
        <v>10</v>
      </c>
      <c r="AP3" s="257"/>
      <c r="AQ3" s="258"/>
    </row>
    <row r="4" spans="1:43" x14ac:dyDescent="0.5">
      <c r="A4" s="246"/>
      <c r="B4" s="246"/>
      <c r="C4" s="248"/>
      <c r="D4" s="248"/>
      <c r="E4" s="123" t="s">
        <v>50</v>
      </c>
      <c r="F4" s="123" t="s">
        <v>56</v>
      </c>
      <c r="G4" s="123" t="s">
        <v>93</v>
      </c>
      <c r="H4" s="123" t="s">
        <v>50</v>
      </c>
      <c r="I4" s="123" t="s">
        <v>56</v>
      </c>
      <c r="J4" s="123" t="s">
        <v>57</v>
      </c>
      <c r="K4" s="123" t="s">
        <v>50</v>
      </c>
      <c r="L4" s="123" t="s">
        <v>56</v>
      </c>
      <c r="M4" s="123" t="s">
        <v>57</v>
      </c>
      <c r="N4" s="123" t="s">
        <v>50</v>
      </c>
      <c r="O4" s="123" t="s">
        <v>56</v>
      </c>
      <c r="P4" s="123" t="s">
        <v>57</v>
      </c>
      <c r="Q4" s="123" t="s">
        <v>50</v>
      </c>
      <c r="R4" s="123" t="s">
        <v>56</v>
      </c>
      <c r="S4" s="123" t="s">
        <v>57</v>
      </c>
      <c r="T4" s="123" t="s">
        <v>50</v>
      </c>
      <c r="U4" s="123" t="s">
        <v>56</v>
      </c>
      <c r="V4" s="123" t="s">
        <v>57</v>
      </c>
      <c r="W4" s="123" t="s">
        <v>50</v>
      </c>
      <c r="X4" s="123" t="s">
        <v>56</v>
      </c>
      <c r="Y4" s="123" t="s">
        <v>57</v>
      </c>
      <c r="Z4" s="123" t="s">
        <v>50</v>
      </c>
      <c r="AA4" s="123" t="s">
        <v>56</v>
      </c>
      <c r="AB4" s="123" t="s">
        <v>57</v>
      </c>
      <c r="AC4" s="123" t="s">
        <v>50</v>
      </c>
      <c r="AD4" s="123" t="s">
        <v>56</v>
      </c>
      <c r="AE4" s="123" t="s">
        <v>57</v>
      </c>
      <c r="AF4" s="123" t="s">
        <v>50</v>
      </c>
      <c r="AG4" s="123" t="s">
        <v>56</v>
      </c>
      <c r="AH4" s="123" t="s">
        <v>57</v>
      </c>
      <c r="AI4" s="123" t="s">
        <v>50</v>
      </c>
      <c r="AJ4" s="123" t="s">
        <v>56</v>
      </c>
      <c r="AK4" s="123" t="s">
        <v>57</v>
      </c>
      <c r="AL4" s="123" t="s">
        <v>50</v>
      </c>
      <c r="AM4" s="123" t="s">
        <v>56</v>
      </c>
      <c r="AN4" s="123" t="s">
        <v>57</v>
      </c>
      <c r="AO4" s="123" t="s">
        <v>50</v>
      </c>
      <c r="AP4" s="123" t="s">
        <v>56</v>
      </c>
      <c r="AQ4" s="123" t="s">
        <v>57</v>
      </c>
    </row>
    <row r="5" spans="1:43" x14ac:dyDescent="0.5">
      <c r="A5" s="117">
        <v>1</v>
      </c>
      <c r="B5" s="125" t="s">
        <v>67</v>
      </c>
      <c r="C5" s="88">
        <v>0.7</v>
      </c>
      <c r="D5" s="88" t="s">
        <v>96</v>
      </c>
      <c r="E5" s="29"/>
      <c r="F5" s="29"/>
      <c r="G5" s="29">
        <f>F5*C5</f>
        <v>0</v>
      </c>
      <c r="H5" s="29"/>
      <c r="I5" s="29"/>
      <c r="J5" s="29">
        <f>I5*C5</f>
        <v>0</v>
      </c>
      <c r="K5" s="29"/>
      <c r="L5" s="29"/>
      <c r="M5" s="29">
        <f>L5*C5</f>
        <v>0</v>
      </c>
      <c r="N5" s="29">
        <v>64</v>
      </c>
      <c r="O5" s="29">
        <v>768</v>
      </c>
      <c r="P5" s="84">
        <f>O5*C5</f>
        <v>537.59999999999991</v>
      </c>
      <c r="Q5" s="29"/>
      <c r="R5" s="29"/>
      <c r="S5" s="29">
        <f>R5*C5</f>
        <v>0</v>
      </c>
      <c r="T5" s="29"/>
      <c r="U5" s="29"/>
      <c r="V5" s="29">
        <f>U5*C5</f>
        <v>0</v>
      </c>
      <c r="W5" s="29">
        <v>50</v>
      </c>
      <c r="X5" s="29">
        <v>600</v>
      </c>
      <c r="Y5" s="29">
        <f>X5*C5</f>
        <v>420</v>
      </c>
      <c r="Z5" s="29"/>
      <c r="AA5" s="29"/>
      <c r="AB5" s="29">
        <f>AA5*C5</f>
        <v>0</v>
      </c>
      <c r="AC5" s="29">
        <v>10</v>
      </c>
      <c r="AD5" s="29">
        <v>120</v>
      </c>
      <c r="AE5" s="29">
        <f>AD5*C5</f>
        <v>84</v>
      </c>
      <c r="AF5" s="29"/>
      <c r="AG5" s="29"/>
      <c r="AH5" s="29">
        <f>AG5*C5</f>
        <v>0</v>
      </c>
      <c r="AI5" s="29"/>
      <c r="AJ5" s="29"/>
      <c r="AK5" s="29">
        <f>AJ5*C5</f>
        <v>0</v>
      </c>
      <c r="AL5" s="29"/>
      <c r="AM5" s="29"/>
      <c r="AN5" s="29">
        <f>AM5*C5</f>
        <v>0</v>
      </c>
      <c r="AO5" s="29">
        <f>E5+H5+K5+N5+Q5+T5+W5+Z5+AC5+AF5+AI5+AL5</f>
        <v>124</v>
      </c>
      <c r="AP5" s="29">
        <f t="shared" ref="AP5" si="0">F5+I5+L5+O5+R5+U5+X5+AA5+AD5+AG5+AJ5+AM5</f>
        <v>1488</v>
      </c>
      <c r="AQ5" s="29">
        <f t="shared" ref="AQ5" si="1">G5+J5+M5+P5+S5+V5+Y5+AB5+AE5+AH5+AK5+AN5</f>
        <v>1041.5999999999999</v>
      </c>
    </row>
    <row r="6" spans="1:43" x14ac:dyDescent="0.5">
      <c r="A6" s="28">
        <v>2</v>
      </c>
      <c r="B6" s="1" t="s">
        <v>83</v>
      </c>
      <c r="C6" s="30">
        <v>1</v>
      </c>
      <c r="D6" s="30" t="s">
        <v>96</v>
      </c>
      <c r="E6" s="29">
        <v>3290</v>
      </c>
      <c r="F6" s="29">
        <f>41460-1980</f>
        <v>39480</v>
      </c>
      <c r="G6" s="29">
        <f t="shared" ref="G6:G8" si="2">F6*C6</f>
        <v>39480</v>
      </c>
      <c r="H6" s="29">
        <v>2569</v>
      </c>
      <c r="I6" s="29">
        <v>30828</v>
      </c>
      <c r="J6" s="29">
        <f t="shared" ref="J6:J8" si="3">I6*C6</f>
        <v>30828</v>
      </c>
      <c r="K6" s="29">
        <v>3860</v>
      </c>
      <c r="L6" s="29">
        <v>46320</v>
      </c>
      <c r="M6" s="29">
        <f t="shared" ref="M6:M8" si="4">L6*C6</f>
        <v>46320</v>
      </c>
      <c r="N6" s="29">
        <v>3520</v>
      </c>
      <c r="O6" s="29">
        <v>42240</v>
      </c>
      <c r="P6" s="84">
        <f t="shared" ref="P6:P8" si="5">O6*C6</f>
        <v>42240</v>
      </c>
      <c r="Q6" s="29">
        <v>2877</v>
      </c>
      <c r="R6" s="29">
        <v>34524</v>
      </c>
      <c r="S6" s="29">
        <f t="shared" ref="S6:S8" si="6">R6*C6</f>
        <v>34524</v>
      </c>
      <c r="T6" s="29">
        <v>3600</v>
      </c>
      <c r="U6" s="29">
        <v>43200</v>
      </c>
      <c r="V6" s="29">
        <f t="shared" ref="V6:V8" si="7">U6*C6</f>
        <v>43200</v>
      </c>
      <c r="W6" s="29">
        <v>3675</v>
      </c>
      <c r="X6" s="29">
        <v>44100</v>
      </c>
      <c r="Y6" s="29">
        <f t="shared" ref="Y6:Y8" si="8">X6*C6</f>
        <v>44100</v>
      </c>
      <c r="Z6" s="29">
        <v>5314</v>
      </c>
      <c r="AA6" s="29">
        <v>63768</v>
      </c>
      <c r="AB6" s="29">
        <f t="shared" ref="AB6:AB8" si="9">AA6*C6</f>
        <v>63768</v>
      </c>
      <c r="AC6" s="29">
        <v>4739</v>
      </c>
      <c r="AD6" s="29">
        <v>56868</v>
      </c>
      <c r="AE6" s="29">
        <f t="shared" ref="AE6:AE8" si="10">AD6*C6</f>
        <v>56868</v>
      </c>
      <c r="AF6" s="29">
        <v>4516</v>
      </c>
      <c r="AG6" s="29">
        <v>54192</v>
      </c>
      <c r="AH6" s="29">
        <f t="shared" ref="AH6:AH8" si="11">AG6*C6</f>
        <v>54192</v>
      </c>
      <c r="AI6" s="29">
        <v>3218</v>
      </c>
      <c r="AJ6" s="29">
        <v>38616</v>
      </c>
      <c r="AK6" s="29">
        <f t="shared" ref="AK6:AK8" si="12">AJ6*C6</f>
        <v>38616</v>
      </c>
      <c r="AL6" s="29">
        <v>5148</v>
      </c>
      <c r="AM6" s="29">
        <v>61776</v>
      </c>
      <c r="AN6" s="29">
        <f t="shared" ref="AN6:AN8" si="13">AM6*C6</f>
        <v>61776</v>
      </c>
      <c r="AO6" s="29">
        <f>E6+H6+K6+N6+Q6+T6+W6+Z6+AC6+AF6+AI6+AL6</f>
        <v>46326</v>
      </c>
      <c r="AP6" s="29">
        <f t="shared" ref="AP6:AQ6" si="14">F6+I6+L6+O6+R6+U6+X6+AA6+AD6+AG6+AJ6+AM6</f>
        <v>555912</v>
      </c>
      <c r="AQ6" s="29">
        <f t="shared" si="14"/>
        <v>555912</v>
      </c>
    </row>
    <row r="7" spans="1:43" x14ac:dyDescent="0.5">
      <c r="A7" s="28">
        <v>3</v>
      </c>
      <c r="B7" s="1" t="s">
        <v>88</v>
      </c>
      <c r="C7" s="1">
        <v>0.64</v>
      </c>
      <c r="D7" s="1" t="s">
        <v>99</v>
      </c>
      <c r="E7" s="29">
        <v>9289</v>
      </c>
      <c r="F7" s="29">
        <v>130046</v>
      </c>
      <c r="G7" s="29">
        <f t="shared" si="2"/>
        <v>83229.440000000002</v>
      </c>
      <c r="H7" s="29">
        <v>8110</v>
      </c>
      <c r="I7" s="29">
        <v>113540</v>
      </c>
      <c r="J7" s="29">
        <f t="shared" si="3"/>
        <v>72665.600000000006</v>
      </c>
      <c r="K7" s="29">
        <v>10340</v>
      </c>
      <c r="L7" s="29">
        <v>144760</v>
      </c>
      <c r="M7" s="29">
        <f t="shared" si="4"/>
        <v>92646.400000000009</v>
      </c>
      <c r="N7" s="29">
        <v>9883</v>
      </c>
      <c r="O7" s="29">
        <v>138362</v>
      </c>
      <c r="P7" s="84">
        <f t="shared" si="5"/>
        <v>88551.680000000008</v>
      </c>
      <c r="Q7" s="29">
        <v>11305</v>
      </c>
      <c r="R7" s="29">
        <v>158270</v>
      </c>
      <c r="S7" s="29">
        <f t="shared" si="6"/>
        <v>101292.8</v>
      </c>
      <c r="T7" s="29">
        <v>9846</v>
      </c>
      <c r="U7" s="29">
        <v>137844</v>
      </c>
      <c r="V7" s="29">
        <f t="shared" si="7"/>
        <v>88220.160000000003</v>
      </c>
      <c r="W7" s="29">
        <v>9289</v>
      </c>
      <c r="X7" s="29">
        <v>130046</v>
      </c>
      <c r="Y7" s="29">
        <f t="shared" si="8"/>
        <v>83229.440000000002</v>
      </c>
      <c r="Z7" s="29">
        <v>10825</v>
      </c>
      <c r="AA7" s="29">
        <v>151550</v>
      </c>
      <c r="AB7" s="29">
        <f t="shared" si="9"/>
        <v>96992</v>
      </c>
      <c r="AC7" s="29">
        <v>9155</v>
      </c>
      <c r="AD7" s="29">
        <v>128170</v>
      </c>
      <c r="AE7" s="29">
        <f t="shared" si="10"/>
        <v>82028.800000000003</v>
      </c>
      <c r="AF7" s="29">
        <v>9410</v>
      </c>
      <c r="AG7" s="29">
        <v>131740</v>
      </c>
      <c r="AH7" s="29">
        <f t="shared" si="11"/>
        <v>84313.600000000006</v>
      </c>
      <c r="AI7" s="29">
        <v>6950</v>
      </c>
      <c r="AJ7" s="29">
        <v>97300</v>
      </c>
      <c r="AK7" s="29">
        <f t="shared" si="12"/>
        <v>62272</v>
      </c>
      <c r="AL7" s="29">
        <v>8120</v>
      </c>
      <c r="AM7" s="29">
        <v>113680</v>
      </c>
      <c r="AN7" s="29">
        <f t="shared" si="13"/>
        <v>72755.199999999997</v>
      </c>
      <c r="AO7" s="29">
        <f t="shared" ref="AO7:AO8" si="15">E7+H7+K7+N7+Q7+T7+W7+Z7+AC7+AF7+AI7+AL7</f>
        <v>112522</v>
      </c>
      <c r="AP7" s="29">
        <f t="shared" ref="AP7:AP8" si="16">F7+I7+L7+O7+R7+U7+X7+AA7+AD7+AG7+AJ7+AM7</f>
        <v>1575308</v>
      </c>
      <c r="AQ7" s="29">
        <f t="shared" ref="AQ7:AQ8" si="17">G7+J7+M7+P7+S7+V7+Y7+AB7+AE7+AH7+AK7+AN7</f>
        <v>1008197.12</v>
      </c>
    </row>
    <row r="8" spans="1:43" x14ac:dyDescent="0.5">
      <c r="A8" s="28">
        <v>4</v>
      </c>
      <c r="B8" s="1" t="s">
        <v>144</v>
      </c>
      <c r="C8" s="1">
        <v>0.64</v>
      </c>
      <c r="D8" s="1" t="s">
        <v>99</v>
      </c>
      <c r="E8" s="84"/>
      <c r="F8" s="84"/>
      <c r="G8" s="29">
        <f t="shared" si="2"/>
        <v>0</v>
      </c>
      <c r="H8" s="84">
        <v>180</v>
      </c>
      <c r="I8" s="84">
        <v>2520</v>
      </c>
      <c r="J8" s="29">
        <f t="shared" si="3"/>
        <v>1612.8</v>
      </c>
      <c r="K8" s="84"/>
      <c r="L8" s="84"/>
      <c r="M8" s="29">
        <f t="shared" si="4"/>
        <v>0</v>
      </c>
      <c r="N8" s="84"/>
      <c r="O8" s="84"/>
      <c r="P8" s="84">
        <f t="shared" si="5"/>
        <v>0</v>
      </c>
      <c r="Q8" s="84"/>
      <c r="R8" s="84"/>
      <c r="S8" s="29">
        <f t="shared" si="6"/>
        <v>0</v>
      </c>
      <c r="T8" s="84">
        <v>45</v>
      </c>
      <c r="U8" s="84">
        <v>630</v>
      </c>
      <c r="V8" s="29">
        <f t="shared" si="7"/>
        <v>403.2</v>
      </c>
      <c r="W8" s="84"/>
      <c r="X8" s="84"/>
      <c r="Y8" s="29">
        <f t="shared" si="8"/>
        <v>0</v>
      </c>
      <c r="Z8" s="84"/>
      <c r="AA8" s="84"/>
      <c r="AB8" s="29">
        <f t="shared" si="9"/>
        <v>0</v>
      </c>
      <c r="AC8" s="84"/>
      <c r="AD8" s="84"/>
      <c r="AE8" s="29">
        <f t="shared" si="10"/>
        <v>0</v>
      </c>
      <c r="AF8" s="84">
        <v>15</v>
      </c>
      <c r="AG8" s="84">
        <v>210</v>
      </c>
      <c r="AH8" s="29">
        <f t="shared" si="11"/>
        <v>134.4</v>
      </c>
      <c r="AI8" s="84"/>
      <c r="AJ8" s="84"/>
      <c r="AK8" s="29">
        <f t="shared" si="12"/>
        <v>0</v>
      </c>
      <c r="AL8" s="84">
        <v>10</v>
      </c>
      <c r="AM8" s="84">
        <v>140</v>
      </c>
      <c r="AN8" s="29">
        <f t="shared" si="13"/>
        <v>89.600000000000009</v>
      </c>
      <c r="AO8" s="29">
        <f t="shared" si="15"/>
        <v>250</v>
      </c>
      <c r="AP8" s="29">
        <f t="shared" si="16"/>
        <v>3500</v>
      </c>
      <c r="AQ8" s="29">
        <f t="shared" si="17"/>
        <v>2240</v>
      </c>
    </row>
    <row r="9" spans="1:43" x14ac:dyDescent="0.5">
      <c r="A9" s="24"/>
      <c r="B9" s="239" t="s">
        <v>10</v>
      </c>
      <c r="C9" s="240"/>
      <c r="D9" s="241"/>
      <c r="E9" s="118">
        <f t="shared" ref="E9:AQ9" si="18">SUM(E5:E8)</f>
        <v>12579</v>
      </c>
      <c r="F9" s="118">
        <f t="shared" si="18"/>
        <v>169526</v>
      </c>
      <c r="G9" s="118">
        <f t="shared" si="18"/>
        <v>122709.44</v>
      </c>
      <c r="H9" s="118">
        <f t="shared" si="18"/>
        <v>10859</v>
      </c>
      <c r="I9" s="118">
        <f t="shared" si="18"/>
        <v>146888</v>
      </c>
      <c r="J9" s="118">
        <f t="shared" si="18"/>
        <v>105106.40000000001</v>
      </c>
      <c r="K9" s="118">
        <f t="shared" si="18"/>
        <v>14200</v>
      </c>
      <c r="L9" s="118">
        <f t="shared" si="18"/>
        <v>191080</v>
      </c>
      <c r="M9" s="118">
        <f t="shared" si="18"/>
        <v>138966.40000000002</v>
      </c>
      <c r="N9" s="118">
        <f t="shared" si="18"/>
        <v>13467</v>
      </c>
      <c r="O9" s="118">
        <f t="shared" si="18"/>
        <v>181370</v>
      </c>
      <c r="P9" s="118">
        <f t="shared" si="18"/>
        <v>131329.28</v>
      </c>
      <c r="Q9" s="118">
        <f t="shared" si="18"/>
        <v>14182</v>
      </c>
      <c r="R9" s="118">
        <f t="shared" si="18"/>
        <v>192794</v>
      </c>
      <c r="S9" s="118">
        <f t="shared" si="18"/>
        <v>135816.79999999999</v>
      </c>
      <c r="T9" s="118">
        <f t="shared" si="18"/>
        <v>13491</v>
      </c>
      <c r="U9" s="118">
        <f t="shared" si="18"/>
        <v>181674</v>
      </c>
      <c r="V9" s="118">
        <f t="shared" si="18"/>
        <v>131823.36000000002</v>
      </c>
      <c r="W9" s="118">
        <f t="shared" si="18"/>
        <v>13014</v>
      </c>
      <c r="X9" s="118">
        <f t="shared" si="18"/>
        <v>174746</v>
      </c>
      <c r="Y9" s="118">
        <f t="shared" si="18"/>
        <v>127749.44</v>
      </c>
      <c r="Z9" s="118">
        <f t="shared" si="18"/>
        <v>16139</v>
      </c>
      <c r="AA9" s="118">
        <f t="shared" si="18"/>
        <v>215318</v>
      </c>
      <c r="AB9" s="118">
        <f t="shared" si="18"/>
        <v>160760</v>
      </c>
      <c r="AC9" s="118">
        <f t="shared" si="18"/>
        <v>13904</v>
      </c>
      <c r="AD9" s="118">
        <f t="shared" si="18"/>
        <v>185158</v>
      </c>
      <c r="AE9" s="118">
        <f t="shared" si="18"/>
        <v>138980.79999999999</v>
      </c>
      <c r="AF9" s="118">
        <f t="shared" si="18"/>
        <v>13941</v>
      </c>
      <c r="AG9" s="118">
        <f t="shared" si="18"/>
        <v>186142</v>
      </c>
      <c r="AH9" s="118">
        <f t="shared" si="18"/>
        <v>138640</v>
      </c>
      <c r="AI9" s="118">
        <f t="shared" si="18"/>
        <v>10168</v>
      </c>
      <c r="AJ9" s="118">
        <f t="shared" si="18"/>
        <v>135916</v>
      </c>
      <c r="AK9" s="118">
        <f t="shared" si="18"/>
        <v>100888</v>
      </c>
      <c r="AL9" s="118">
        <f t="shared" si="18"/>
        <v>13278</v>
      </c>
      <c r="AM9" s="118">
        <f t="shared" si="18"/>
        <v>175596</v>
      </c>
      <c r="AN9" s="118">
        <f t="shared" si="18"/>
        <v>134620.80000000002</v>
      </c>
      <c r="AO9" s="118">
        <f t="shared" si="18"/>
        <v>159222</v>
      </c>
      <c r="AP9" s="118">
        <f t="shared" si="18"/>
        <v>2136208</v>
      </c>
      <c r="AQ9" s="118">
        <f t="shared" si="18"/>
        <v>1567390.72</v>
      </c>
    </row>
    <row r="10" spans="1:43" x14ac:dyDescent="0.5">
      <c r="A10" s="39"/>
      <c r="B10" s="30"/>
      <c r="C10" s="30"/>
      <c r="D10" s="30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>
        <f>O10*C11</f>
        <v>0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5">
      <c r="A11" s="28">
        <v>1</v>
      </c>
      <c r="B11" s="30" t="s">
        <v>6</v>
      </c>
      <c r="C11" s="1">
        <v>0.7</v>
      </c>
      <c r="D11" s="1" t="s">
        <v>96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8">
        <f t="shared" ref="P11:P19" si="19">O11*C12</f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5">
      <c r="A12" s="28">
        <v>2</v>
      </c>
      <c r="B12" s="30" t="s">
        <v>5</v>
      </c>
      <c r="C12" s="1">
        <v>0.35</v>
      </c>
      <c r="D12" s="1" t="s">
        <v>98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8">
        <f t="shared" si="19"/>
        <v>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5">
      <c r="A13" s="39">
        <v>3</v>
      </c>
      <c r="B13" s="30" t="s">
        <v>4</v>
      </c>
      <c r="C13" s="1">
        <v>0.17499999999999999</v>
      </c>
      <c r="D13" s="1" t="s">
        <v>100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8">
        <f t="shared" si="19"/>
        <v>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5">
      <c r="A14" s="39">
        <v>4</v>
      </c>
      <c r="B14" s="30" t="s">
        <v>3</v>
      </c>
      <c r="C14" s="1">
        <v>0.7</v>
      </c>
      <c r="D14" s="1" t="s">
        <v>96</v>
      </c>
      <c r="E14" s="29"/>
      <c r="F14" s="29"/>
      <c r="G14" s="29"/>
      <c r="H14" s="29"/>
      <c r="I14" s="29"/>
      <c r="J14" s="29"/>
      <c r="K14" s="29"/>
      <c r="L14" s="29"/>
      <c r="M14" s="29"/>
      <c r="N14" s="29">
        <f>72/12</f>
        <v>6</v>
      </c>
      <c r="O14" s="29">
        <v>72</v>
      </c>
      <c r="P14" s="28">
        <f t="shared" si="19"/>
        <v>25.2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5">
      <c r="A15" s="39">
        <v>5</v>
      </c>
      <c r="B15" s="30" t="s">
        <v>2</v>
      </c>
      <c r="C15" s="1">
        <v>0.35</v>
      </c>
      <c r="D15" s="1" t="s">
        <v>98</v>
      </c>
      <c r="E15" s="29"/>
      <c r="F15" s="29"/>
      <c r="G15" s="29"/>
      <c r="H15" s="29"/>
      <c r="I15" s="29"/>
      <c r="J15" s="29"/>
      <c r="K15" s="29"/>
      <c r="L15" s="29"/>
      <c r="M15" s="29"/>
      <c r="N15" s="29">
        <f>96/24</f>
        <v>4</v>
      </c>
      <c r="O15" s="29">
        <v>96</v>
      </c>
      <c r="P15" s="28">
        <f t="shared" si="19"/>
        <v>16.799999999999997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5">
      <c r="A16" s="39">
        <v>6</v>
      </c>
      <c r="B16" s="30" t="s">
        <v>1</v>
      </c>
      <c r="C16" s="1">
        <v>0.17499999999999999</v>
      </c>
      <c r="D16" s="1" t="s">
        <v>100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8">
        <f t="shared" si="19"/>
        <v>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5">
      <c r="A17" s="39">
        <v>7</v>
      </c>
      <c r="B17" s="30" t="s">
        <v>0</v>
      </c>
      <c r="C17" s="1">
        <v>0.7</v>
      </c>
      <c r="D17" s="1" t="s">
        <v>96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8">
        <f t="shared" si="19"/>
        <v>0</v>
      </c>
      <c r="Q17" s="29">
        <f>60/12</f>
        <v>5</v>
      </c>
      <c r="R17" s="29">
        <v>60</v>
      </c>
      <c r="S17" s="29">
        <f>R17*C17</f>
        <v>42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5">
      <c r="A18" s="39">
        <v>8</v>
      </c>
      <c r="B18" s="30" t="s">
        <v>8</v>
      </c>
      <c r="C18" s="1">
        <v>0.7</v>
      </c>
      <c r="D18" s="1" t="s">
        <v>96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8">
        <f t="shared" si="19"/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5">
      <c r="A19" s="39">
        <v>9</v>
      </c>
      <c r="B19" s="30" t="s">
        <v>7</v>
      </c>
      <c r="C19" s="1">
        <v>0.35</v>
      </c>
      <c r="D19" s="1" t="s">
        <v>98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8">
        <f t="shared" si="19"/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5">
      <c r="A20" s="46"/>
      <c r="B20" s="239" t="s">
        <v>10</v>
      </c>
      <c r="C20" s="240"/>
      <c r="D20" s="241"/>
      <c r="E20" s="118">
        <f t="shared" ref="E20:F20" si="20">SUM(E11:E19)</f>
        <v>0</v>
      </c>
      <c r="F20" s="118">
        <f t="shared" si="20"/>
        <v>0</v>
      </c>
      <c r="G20" s="118">
        <f>SUM(G11:G19)</f>
        <v>0</v>
      </c>
      <c r="H20" s="118">
        <f t="shared" ref="H20:AN20" si="21">SUM(H11:H19)</f>
        <v>0</v>
      </c>
      <c r="I20" s="118">
        <f t="shared" si="21"/>
        <v>0</v>
      </c>
      <c r="J20" s="118">
        <f t="shared" si="21"/>
        <v>0</v>
      </c>
      <c r="K20" s="118">
        <f t="shared" si="21"/>
        <v>0</v>
      </c>
      <c r="L20" s="118">
        <f t="shared" si="21"/>
        <v>0</v>
      </c>
      <c r="M20" s="118">
        <f t="shared" si="21"/>
        <v>0</v>
      </c>
      <c r="N20" s="118">
        <f t="shared" si="21"/>
        <v>10</v>
      </c>
      <c r="O20" s="118">
        <f t="shared" si="21"/>
        <v>168</v>
      </c>
      <c r="P20" s="118">
        <f t="shared" si="21"/>
        <v>42</v>
      </c>
      <c r="Q20" s="118">
        <f t="shared" si="21"/>
        <v>5</v>
      </c>
      <c r="R20" s="118">
        <f t="shared" si="21"/>
        <v>60</v>
      </c>
      <c r="S20" s="118">
        <f t="shared" si="21"/>
        <v>42</v>
      </c>
      <c r="T20" s="118">
        <f t="shared" si="21"/>
        <v>0</v>
      </c>
      <c r="U20" s="118">
        <f t="shared" si="21"/>
        <v>0</v>
      </c>
      <c r="V20" s="118">
        <f t="shared" si="21"/>
        <v>0</v>
      </c>
      <c r="W20" s="118">
        <f t="shared" si="21"/>
        <v>0</v>
      </c>
      <c r="X20" s="118">
        <f t="shared" si="21"/>
        <v>0</v>
      </c>
      <c r="Y20" s="118">
        <f t="shared" si="21"/>
        <v>0</v>
      </c>
      <c r="Z20" s="118">
        <f t="shared" si="21"/>
        <v>0</v>
      </c>
      <c r="AA20" s="118">
        <f t="shared" si="21"/>
        <v>0</v>
      </c>
      <c r="AB20" s="118">
        <f t="shared" si="21"/>
        <v>0</v>
      </c>
      <c r="AC20" s="118">
        <f t="shared" si="21"/>
        <v>0</v>
      </c>
      <c r="AD20" s="118">
        <f t="shared" si="21"/>
        <v>0</v>
      </c>
      <c r="AE20" s="118">
        <f t="shared" si="21"/>
        <v>0</v>
      </c>
      <c r="AF20" s="118">
        <f t="shared" si="21"/>
        <v>0</v>
      </c>
      <c r="AG20" s="118">
        <f t="shared" si="21"/>
        <v>0</v>
      </c>
      <c r="AH20" s="118">
        <f t="shared" si="21"/>
        <v>0</v>
      </c>
      <c r="AI20" s="118">
        <f t="shared" si="21"/>
        <v>0</v>
      </c>
      <c r="AJ20" s="118">
        <f t="shared" si="21"/>
        <v>0</v>
      </c>
      <c r="AK20" s="118">
        <f t="shared" si="21"/>
        <v>0</v>
      </c>
      <c r="AL20" s="118">
        <f t="shared" si="21"/>
        <v>0</v>
      </c>
      <c r="AM20" s="118">
        <f t="shared" si="21"/>
        <v>0</v>
      </c>
      <c r="AN20" s="118">
        <f t="shared" si="21"/>
        <v>0</v>
      </c>
      <c r="AO20" s="118">
        <f t="shared" ref="AO20:AQ20" si="22">SUM(AO11:AO19)</f>
        <v>0</v>
      </c>
      <c r="AP20" s="118">
        <f t="shared" si="22"/>
        <v>0</v>
      </c>
      <c r="AQ20" s="118">
        <f t="shared" si="22"/>
        <v>0</v>
      </c>
    </row>
    <row r="21" spans="1:43" x14ac:dyDescent="0.5">
      <c r="A21" s="45"/>
      <c r="B21" s="242" t="s">
        <v>49</v>
      </c>
      <c r="C21" s="243"/>
      <c r="D21" s="244"/>
      <c r="E21" s="119">
        <f t="shared" ref="E21:F21" si="23">E9+E20</f>
        <v>12579</v>
      </c>
      <c r="F21" s="119">
        <f t="shared" si="23"/>
        <v>169526</v>
      </c>
      <c r="G21" s="119">
        <f>G9+G20</f>
        <v>122709.44</v>
      </c>
      <c r="H21" s="119">
        <f>H9+H20</f>
        <v>10859</v>
      </c>
      <c r="I21" s="119">
        <f>I9+I20</f>
        <v>146888</v>
      </c>
      <c r="J21" s="120">
        <f t="shared" ref="J21:Q21" si="24">J9+J20</f>
        <v>105106.40000000001</v>
      </c>
      <c r="K21" s="119">
        <f t="shared" si="24"/>
        <v>14200</v>
      </c>
      <c r="L21" s="119">
        <f t="shared" si="24"/>
        <v>191080</v>
      </c>
      <c r="M21" s="120">
        <f t="shared" si="24"/>
        <v>138966.40000000002</v>
      </c>
      <c r="N21" s="119">
        <f t="shared" si="24"/>
        <v>13477</v>
      </c>
      <c r="O21" s="119">
        <f t="shared" si="24"/>
        <v>181538</v>
      </c>
      <c r="P21" s="121">
        <f t="shared" si="24"/>
        <v>131371.28</v>
      </c>
      <c r="Q21" s="119">
        <f t="shared" si="24"/>
        <v>14187</v>
      </c>
      <c r="R21" s="119"/>
      <c r="S21" s="121">
        <f t="shared" ref="S21:T21" si="25">S9+S20</f>
        <v>135858.79999999999</v>
      </c>
      <c r="T21" s="119">
        <f t="shared" si="25"/>
        <v>13491</v>
      </c>
      <c r="U21" s="119"/>
      <c r="V21" s="121">
        <f t="shared" ref="V21:W21" si="26">V9+V20</f>
        <v>131823.36000000002</v>
      </c>
      <c r="W21" s="119">
        <f t="shared" si="26"/>
        <v>13014</v>
      </c>
      <c r="X21" s="119"/>
      <c r="Y21" s="121">
        <f t="shared" ref="Y21:Z21" si="27">Y9+Y20</f>
        <v>127749.44</v>
      </c>
      <c r="Z21" s="119">
        <f t="shared" si="27"/>
        <v>16139</v>
      </c>
      <c r="AA21" s="119"/>
      <c r="AB21" s="121">
        <f t="shared" ref="AB21:AC21" si="28">AB9+AB20</f>
        <v>160760</v>
      </c>
      <c r="AC21" s="119">
        <f t="shared" si="28"/>
        <v>13904</v>
      </c>
      <c r="AD21" s="119"/>
      <c r="AE21" s="121">
        <f t="shared" ref="AE21:AF21" si="29">AE9+AE20</f>
        <v>138980.79999999999</v>
      </c>
      <c r="AF21" s="119">
        <f t="shared" si="29"/>
        <v>13941</v>
      </c>
      <c r="AG21" s="119"/>
      <c r="AH21" s="121">
        <f t="shared" ref="AH21:AI21" si="30">AH9+AH20</f>
        <v>138640</v>
      </c>
      <c r="AI21" s="119">
        <f t="shared" si="30"/>
        <v>10168</v>
      </c>
      <c r="AJ21" s="119"/>
      <c r="AK21" s="121">
        <f t="shared" ref="AK21:AL21" si="31">AK9+AK20</f>
        <v>100888</v>
      </c>
      <c r="AL21" s="119">
        <f t="shared" si="31"/>
        <v>13278</v>
      </c>
      <c r="AM21" s="119"/>
      <c r="AN21" s="121">
        <f t="shared" ref="AN21:AO21" si="32">AN9+AN20</f>
        <v>134620.80000000002</v>
      </c>
      <c r="AO21" s="119">
        <f t="shared" si="32"/>
        <v>159222</v>
      </c>
      <c r="AP21" s="119"/>
      <c r="AQ21" s="121">
        <f t="shared" ref="AQ21" si="33">AQ9+AQ20</f>
        <v>1567390.72</v>
      </c>
    </row>
    <row r="24" spans="1:43" ht="25.15" customHeight="1" x14ac:dyDescent="0.5">
      <c r="B24" s="41" t="s">
        <v>112</v>
      </c>
    </row>
    <row r="25" spans="1:43" ht="15" customHeight="1" x14ac:dyDescent="0.5"/>
    <row r="26" spans="1:43" ht="42.75" customHeight="1" x14ac:dyDescent="0.5">
      <c r="A26" s="245" t="s">
        <v>52</v>
      </c>
      <c r="B26" s="245" t="s">
        <v>51</v>
      </c>
      <c r="C26" s="247" t="s">
        <v>117</v>
      </c>
      <c r="D26" s="247" t="s">
        <v>95</v>
      </c>
      <c r="E26" s="256" t="s">
        <v>114</v>
      </c>
      <c r="F26" s="257"/>
      <c r="G26" s="258"/>
      <c r="H26" s="256" t="s">
        <v>58</v>
      </c>
      <c r="I26" s="257"/>
      <c r="J26" s="258"/>
      <c r="K26" s="256" t="s">
        <v>59</v>
      </c>
      <c r="L26" s="257"/>
      <c r="M26" s="258"/>
      <c r="N26" s="256" t="s">
        <v>60</v>
      </c>
      <c r="O26" s="257"/>
      <c r="P26" s="258"/>
      <c r="Q26" s="256" t="s">
        <v>61</v>
      </c>
      <c r="R26" s="257"/>
      <c r="S26" s="258"/>
      <c r="T26" s="256" t="s">
        <v>62</v>
      </c>
      <c r="U26" s="257"/>
      <c r="V26" s="258"/>
      <c r="W26" s="256" t="s">
        <v>63</v>
      </c>
      <c r="X26" s="257"/>
      <c r="Y26" s="258"/>
      <c r="Z26" s="256" t="s">
        <v>64</v>
      </c>
      <c r="AA26" s="257"/>
      <c r="AB26" s="258"/>
      <c r="AC26" s="256" t="s">
        <v>65</v>
      </c>
      <c r="AD26" s="257"/>
      <c r="AE26" s="258"/>
      <c r="AF26" s="256" t="s">
        <v>18</v>
      </c>
      <c r="AG26" s="257"/>
      <c r="AH26" s="258"/>
      <c r="AI26" s="256" t="s">
        <v>17</v>
      </c>
      <c r="AJ26" s="257"/>
      <c r="AK26" s="258"/>
      <c r="AL26" s="256" t="s">
        <v>16</v>
      </c>
      <c r="AM26" s="257"/>
      <c r="AN26" s="258"/>
      <c r="AO26" s="256" t="s">
        <v>10</v>
      </c>
      <c r="AP26" s="257"/>
      <c r="AQ26" s="258"/>
    </row>
    <row r="27" spans="1:43" ht="25.15" customHeight="1" x14ac:dyDescent="0.5">
      <c r="A27" s="246"/>
      <c r="B27" s="246"/>
      <c r="C27" s="248"/>
      <c r="D27" s="248"/>
      <c r="E27" s="123" t="s">
        <v>50</v>
      </c>
      <c r="F27" s="123" t="s">
        <v>56</v>
      </c>
      <c r="G27" s="123" t="s">
        <v>93</v>
      </c>
      <c r="H27" s="123" t="s">
        <v>50</v>
      </c>
      <c r="I27" s="123" t="s">
        <v>56</v>
      </c>
      <c r="J27" s="123" t="s">
        <v>57</v>
      </c>
      <c r="K27" s="123" t="s">
        <v>50</v>
      </c>
      <c r="L27" s="123" t="s">
        <v>56</v>
      </c>
      <c r="M27" s="123" t="s">
        <v>57</v>
      </c>
      <c r="N27" s="123" t="s">
        <v>50</v>
      </c>
      <c r="O27" s="123" t="s">
        <v>56</v>
      </c>
      <c r="P27" s="123" t="s">
        <v>57</v>
      </c>
      <c r="Q27" s="123" t="s">
        <v>50</v>
      </c>
      <c r="R27" s="123" t="s">
        <v>56</v>
      </c>
      <c r="S27" s="123" t="s">
        <v>57</v>
      </c>
      <c r="T27" s="123" t="s">
        <v>50</v>
      </c>
      <c r="U27" s="123" t="s">
        <v>56</v>
      </c>
      <c r="V27" s="123" t="s">
        <v>57</v>
      </c>
      <c r="W27" s="123" t="s">
        <v>50</v>
      </c>
      <c r="X27" s="123" t="s">
        <v>56</v>
      </c>
      <c r="Y27" s="123" t="s">
        <v>57</v>
      </c>
      <c r="Z27" s="123" t="s">
        <v>50</v>
      </c>
      <c r="AA27" s="123" t="s">
        <v>56</v>
      </c>
      <c r="AB27" s="123" t="s">
        <v>57</v>
      </c>
      <c r="AC27" s="123" t="s">
        <v>50</v>
      </c>
      <c r="AD27" s="123" t="s">
        <v>56</v>
      </c>
      <c r="AE27" s="123" t="s">
        <v>57</v>
      </c>
      <c r="AF27" s="123" t="s">
        <v>50</v>
      </c>
      <c r="AG27" s="123" t="s">
        <v>56</v>
      </c>
      <c r="AH27" s="123" t="s">
        <v>57</v>
      </c>
      <c r="AI27" s="123" t="s">
        <v>50</v>
      </c>
      <c r="AJ27" s="123" t="s">
        <v>56</v>
      </c>
      <c r="AK27" s="123" t="s">
        <v>57</v>
      </c>
      <c r="AL27" s="123" t="s">
        <v>50</v>
      </c>
      <c r="AM27" s="123" t="s">
        <v>56</v>
      </c>
      <c r="AN27" s="123" t="s">
        <v>57</v>
      </c>
      <c r="AO27" s="123" t="s">
        <v>50</v>
      </c>
      <c r="AP27" s="123" t="s">
        <v>56</v>
      </c>
      <c r="AQ27" s="123" t="s">
        <v>57</v>
      </c>
    </row>
    <row r="28" spans="1:43" ht="20.100000000000001" customHeight="1" x14ac:dyDescent="0.5">
      <c r="A28" s="28">
        <v>2</v>
      </c>
      <c r="B28" s="1" t="s">
        <v>83</v>
      </c>
      <c r="C28" s="30">
        <v>1</v>
      </c>
      <c r="D28" s="30" t="s">
        <v>96</v>
      </c>
      <c r="E28" s="28">
        <v>4515</v>
      </c>
      <c r="F28" s="28">
        <v>54180</v>
      </c>
      <c r="G28" s="29">
        <f t="shared" ref="G28:G29" si="34">F28*C28</f>
        <v>54180</v>
      </c>
      <c r="H28" s="28">
        <v>4349</v>
      </c>
      <c r="I28" s="28">
        <v>52188</v>
      </c>
      <c r="J28" s="28">
        <f>I28*C28</f>
        <v>52188</v>
      </c>
      <c r="K28" s="28">
        <v>4760</v>
      </c>
      <c r="L28" s="28">
        <v>57120</v>
      </c>
      <c r="M28" s="28">
        <v>57120</v>
      </c>
      <c r="N28" s="28">
        <v>2300</v>
      </c>
      <c r="O28" s="28">
        <v>27600</v>
      </c>
      <c r="P28" s="57">
        <f t="shared" ref="P28:P32" si="35">O28*C28</f>
        <v>27600</v>
      </c>
      <c r="Q28" s="95">
        <v>5410</v>
      </c>
      <c r="R28" s="95">
        <v>64920</v>
      </c>
      <c r="S28" s="95">
        <f t="shared" ref="S28:S33" si="36">R28*C28</f>
        <v>64920</v>
      </c>
      <c r="T28" s="95">
        <v>5973</v>
      </c>
      <c r="U28" s="95">
        <v>71676</v>
      </c>
      <c r="V28" s="95">
        <f>U28*C28</f>
        <v>71676</v>
      </c>
      <c r="W28" s="95">
        <v>5310</v>
      </c>
      <c r="X28" s="95">
        <v>63720</v>
      </c>
      <c r="Y28" s="95">
        <f>X28*C28</f>
        <v>63720</v>
      </c>
      <c r="Z28" s="95">
        <v>6345</v>
      </c>
      <c r="AA28" s="95">
        <v>76140</v>
      </c>
      <c r="AB28" s="95">
        <v>76140</v>
      </c>
      <c r="AC28" s="95">
        <v>6544</v>
      </c>
      <c r="AD28" s="95">
        <v>78528</v>
      </c>
      <c r="AE28" s="95">
        <v>78528</v>
      </c>
      <c r="AF28" s="95">
        <v>5530</v>
      </c>
      <c r="AG28" s="95">
        <v>66360</v>
      </c>
      <c r="AH28" s="95">
        <v>66360</v>
      </c>
      <c r="AI28" s="95">
        <v>5790</v>
      </c>
      <c r="AJ28" s="95">
        <v>69480</v>
      </c>
      <c r="AK28" s="95">
        <v>69480</v>
      </c>
      <c r="AL28" s="95">
        <v>7145</v>
      </c>
      <c r="AM28" s="95">
        <v>85740</v>
      </c>
      <c r="AN28" s="28">
        <v>85740</v>
      </c>
      <c r="AO28" s="95"/>
      <c r="AP28" s="95"/>
      <c r="AQ28" s="28"/>
    </row>
    <row r="29" spans="1:43" ht="20.100000000000001" customHeight="1" x14ac:dyDescent="0.5">
      <c r="A29" s="28">
        <v>3</v>
      </c>
      <c r="B29" s="1" t="s">
        <v>88</v>
      </c>
      <c r="C29" s="1">
        <v>0.64</v>
      </c>
      <c r="D29" s="1" t="s">
        <v>99</v>
      </c>
      <c r="E29" s="28">
        <v>7875</v>
      </c>
      <c r="F29" s="28">
        <v>110250</v>
      </c>
      <c r="G29" s="29">
        <f t="shared" si="34"/>
        <v>70560</v>
      </c>
      <c r="H29" s="28">
        <v>8220</v>
      </c>
      <c r="I29" s="28">
        <v>115080</v>
      </c>
      <c r="J29" s="28">
        <f t="shared" ref="J29:J32" si="37">I29*C29</f>
        <v>73651.199999999997</v>
      </c>
      <c r="K29" s="28">
        <v>10048</v>
      </c>
      <c r="L29" s="28">
        <v>140672</v>
      </c>
      <c r="M29" s="28">
        <v>90030.080000000002</v>
      </c>
      <c r="N29" s="28">
        <v>90030.080000000002</v>
      </c>
      <c r="O29" s="28">
        <v>116592</v>
      </c>
      <c r="P29" s="57">
        <f t="shared" si="35"/>
        <v>74618.880000000005</v>
      </c>
      <c r="Q29" s="95">
        <v>10814</v>
      </c>
      <c r="R29" s="95">
        <v>151396</v>
      </c>
      <c r="S29" s="95">
        <f t="shared" si="36"/>
        <v>96893.440000000002</v>
      </c>
      <c r="T29" s="95">
        <v>9275</v>
      </c>
      <c r="U29" s="95">
        <v>129850</v>
      </c>
      <c r="V29" s="95">
        <f t="shared" ref="V29:V33" si="38">U29*C29</f>
        <v>83104</v>
      </c>
      <c r="W29" s="95">
        <v>8895</v>
      </c>
      <c r="X29" s="95">
        <v>124530</v>
      </c>
      <c r="Y29" s="95">
        <f t="shared" ref="Y29:Y33" si="39">X29*C29</f>
        <v>79699.199999999997</v>
      </c>
      <c r="Z29" s="95">
        <v>7360</v>
      </c>
      <c r="AA29" s="95">
        <v>103040</v>
      </c>
      <c r="AB29" s="95">
        <v>65945.600000000006</v>
      </c>
      <c r="AC29" s="95">
        <v>7696</v>
      </c>
      <c r="AD29" s="95">
        <v>107744</v>
      </c>
      <c r="AE29" s="95">
        <v>68956.160000000003</v>
      </c>
      <c r="AF29" s="95">
        <v>7860</v>
      </c>
      <c r="AG29" s="95">
        <v>110040</v>
      </c>
      <c r="AH29" s="95">
        <v>70425.600000000006</v>
      </c>
      <c r="AI29" s="95">
        <v>6345</v>
      </c>
      <c r="AJ29" s="95">
        <v>88830</v>
      </c>
      <c r="AK29" s="95">
        <v>56851.199999999997</v>
      </c>
      <c r="AL29" s="95">
        <v>6905</v>
      </c>
      <c r="AM29" s="95">
        <v>96670</v>
      </c>
      <c r="AN29" s="28">
        <v>61868.800000000003</v>
      </c>
      <c r="AO29" s="95"/>
      <c r="AP29" s="95"/>
      <c r="AQ29" s="28"/>
    </row>
    <row r="30" spans="1:43" ht="20.100000000000001" customHeight="1" x14ac:dyDescent="0.5">
      <c r="A30" s="28">
        <v>4</v>
      </c>
      <c r="B30" s="1" t="s">
        <v>145</v>
      </c>
      <c r="C30" s="1">
        <v>0.64</v>
      </c>
      <c r="D30" s="1" t="s">
        <v>99</v>
      </c>
      <c r="E30" s="57"/>
      <c r="F30" s="57"/>
      <c r="G30" s="84"/>
      <c r="H30" s="57">
        <v>20</v>
      </c>
      <c r="I30" s="57">
        <v>280</v>
      </c>
      <c r="J30" s="28">
        <f t="shared" si="37"/>
        <v>179.20000000000002</v>
      </c>
      <c r="K30" s="57"/>
      <c r="L30" s="57"/>
      <c r="M30" s="28">
        <f t="shared" ref="M30:M32" si="40">L30*C30</f>
        <v>0</v>
      </c>
      <c r="N30" s="57"/>
      <c r="O30" s="57"/>
      <c r="P30" s="57">
        <f t="shared" si="35"/>
        <v>0</v>
      </c>
      <c r="Q30" s="113"/>
      <c r="R30" s="113"/>
      <c r="S30" s="95">
        <f t="shared" si="36"/>
        <v>0</v>
      </c>
      <c r="T30" s="113"/>
      <c r="U30" s="113"/>
      <c r="V30" s="95">
        <f t="shared" si="38"/>
        <v>0</v>
      </c>
      <c r="W30" s="113"/>
      <c r="X30" s="113"/>
      <c r="Y30" s="95">
        <f t="shared" si="39"/>
        <v>0</v>
      </c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57"/>
      <c r="AO30" s="113"/>
      <c r="AP30" s="113"/>
      <c r="AQ30" s="57"/>
    </row>
    <row r="31" spans="1:43" ht="20.100000000000001" customHeight="1" x14ac:dyDescent="0.5">
      <c r="A31" s="28"/>
      <c r="B31" s="1" t="s">
        <v>120</v>
      </c>
      <c r="C31" s="1">
        <v>1</v>
      </c>
      <c r="D31" s="1"/>
      <c r="E31" s="57"/>
      <c r="F31" s="57"/>
      <c r="G31" s="84"/>
      <c r="H31" s="57"/>
      <c r="I31" s="57"/>
      <c r="J31" s="28"/>
      <c r="K31" s="57"/>
      <c r="L31" s="57"/>
      <c r="M31" s="28"/>
      <c r="N31" s="57"/>
      <c r="O31" s="57"/>
      <c r="P31" s="57"/>
      <c r="Q31" s="113">
        <v>5</v>
      </c>
      <c r="R31" s="113">
        <v>60</v>
      </c>
      <c r="S31" s="95">
        <f t="shared" si="36"/>
        <v>60</v>
      </c>
      <c r="T31" s="113"/>
      <c r="U31" s="113"/>
      <c r="V31" s="95">
        <f t="shared" si="38"/>
        <v>0</v>
      </c>
      <c r="W31" s="113"/>
      <c r="X31" s="113"/>
      <c r="Y31" s="95">
        <f t="shared" si="39"/>
        <v>0</v>
      </c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57"/>
      <c r="AO31" s="113"/>
      <c r="AP31" s="113"/>
      <c r="AQ31" s="57"/>
    </row>
    <row r="32" spans="1:43" ht="20.100000000000001" customHeight="1" x14ac:dyDescent="0.5">
      <c r="A32" s="28">
        <v>5</v>
      </c>
      <c r="B32" s="1" t="s">
        <v>9</v>
      </c>
      <c r="C32" s="1">
        <v>0.64</v>
      </c>
      <c r="D32" s="1" t="s">
        <v>99</v>
      </c>
      <c r="E32" s="57"/>
      <c r="F32" s="57"/>
      <c r="G32" s="84"/>
      <c r="H32" s="57">
        <v>10</v>
      </c>
      <c r="I32" s="57">
        <v>140</v>
      </c>
      <c r="J32" s="28">
        <f t="shared" si="37"/>
        <v>89.600000000000009</v>
      </c>
      <c r="K32" s="57"/>
      <c r="L32" s="57"/>
      <c r="M32" s="28">
        <f t="shared" si="40"/>
        <v>0</v>
      </c>
      <c r="N32" s="57">
        <v>10</v>
      </c>
      <c r="O32" s="57">
        <v>140</v>
      </c>
      <c r="P32" s="57">
        <f t="shared" si="35"/>
        <v>89.600000000000009</v>
      </c>
      <c r="Q32" s="113">
        <v>22</v>
      </c>
      <c r="R32" s="113">
        <v>308</v>
      </c>
      <c r="S32" s="95">
        <f t="shared" si="36"/>
        <v>197.12</v>
      </c>
      <c r="T32" s="113">
        <v>10</v>
      </c>
      <c r="U32" s="113">
        <v>140</v>
      </c>
      <c r="V32" s="95">
        <f t="shared" si="38"/>
        <v>89.600000000000009</v>
      </c>
      <c r="W32" s="113"/>
      <c r="X32" s="113"/>
      <c r="Y32" s="95">
        <f t="shared" si="39"/>
        <v>0</v>
      </c>
      <c r="Z32" s="113">
        <v>30</v>
      </c>
      <c r="AA32" s="113">
        <v>420</v>
      </c>
      <c r="AB32" s="113">
        <v>268.8</v>
      </c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57"/>
      <c r="AO32" s="113"/>
      <c r="AP32" s="113"/>
      <c r="AQ32" s="57"/>
    </row>
    <row r="33" spans="1:43" ht="20.100000000000001" customHeight="1" x14ac:dyDescent="0.5">
      <c r="A33" s="28">
        <v>7</v>
      </c>
      <c r="B33" s="1" t="s">
        <v>92</v>
      </c>
      <c r="C33" s="1">
        <v>0.64</v>
      </c>
      <c r="D33" s="1" t="s">
        <v>98</v>
      </c>
      <c r="E33" s="57"/>
      <c r="F33" s="57"/>
      <c r="G33" s="84"/>
      <c r="H33" s="57"/>
      <c r="I33" s="57"/>
      <c r="J33" s="57"/>
      <c r="K33" s="57"/>
      <c r="L33" s="57"/>
      <c r="M33" s="57"/>
      <c r="N33" s="57">
        <v>60</v>
      </c>
      <c r="O33" s="57">
        <v>1440</v>
      </c>
      <c r="P33" s="57">
        <f>O33*C33</f>
        <v>921.6</v>
      </c>
      <c r="Q33" s="113"/>
      <c r="R33" s="113"/>
      <c r="S33" s="95">
        <f t="shared" si="36"/>
        <v>0</v>
      </c>
      <c r="T33" s="113"/>
      <c r="U33" s="113"/>
      <c r="V33" s="95">
        <f t="shared" si="38"/>
        <v>0</v>
      </c>
      <c r="W33" s="113"/>
      <c r="X33" s="113"/>
      <c r="Y33" s="95">
        <f t="shared" si="39"/>
        <v>0</v>
      </c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57"/>
      <c r="AO33" s="113"/>
      <c r="AP33" s="113"/>
      <c r="AQ33" s="57"/>
    </row>
    <row r="34" spans="1:43" s="41" customFormat="1" ht="20.100000000000001" customHeight="1" x14ac:dyDescent="0.5">
      <c r="A34" s="24"/>
      <c r="B34" s="239" t="s">
        <v>10</v>
      </c>
      <c r="C34" s="240"/>
      <c r="D34" s="241"/>
      <c r="E34" s="118">
        <f>SUM(E28:E32)</f>
        <v>12390</v>
      </c>
      <c r="F34" s="118">
        <f t="shared" ref="F34:I34" si="41">SUM(F28:F32)</f>
        <v>164430</v>
      </c>
      <c r="G34" s="118">
        <f t="shared" si="41"/>
        <v>124740</v>
      </c>
      <c r="H34" s="118">
        <f t="shared" si="41"/>
        <v>12599</v>
      </c>
      <c r="I34" s="118">
        <f t="shared" si="41"/>
        <v>167688</v>
      </c>
      <c r="J34" s="118">
        <f>SUM(J28:J32)</f>
        <v>126108</v>
      </c>
      <c r="K34" s="118">
        <f>SUM(K28:K32)</f>
        <v>14808</v>
      </c>
      <c r="L34" s="118">
        <f>SUM(L28:L32)</f>
        <v>197792</v>
      </c>
      <c r="M34" s="118">
        <f>SUM(M28:M32)</f>
        <v>147150.08000000002</v>
      </c>
      <c r="N34" s="118">
        <f t="shared" ref="N34:AN34" si="42">SUM(N28:N33)</f>
        <v>92400.08</v>
      </c>
      <c r="O34" s="118">
        <f t="shared" si="42"/>
        <v>145772</v>
      </c>
      <c r="P34" s="118">
        <f t="shared" si="42"/>
        <v>103230.08000000002</v>
      </c>
      <c r="Q34" s="118">
        <f t="shared" si="42"/>
        <v>16251</v>
      </c>
      <c r="R34" s="118">
        <f t="shared" si="42"/>
        <v>216684</v>
      </c>
      <c r="S34" s="118">
        <f t="shared" si="42"/>
        <v>162070.56</v>
      </c>
      <c r="T34" s="118">
        <f t="shared" si="42"/>
        <v>15258</v>
      </c>
      <c r="U34" s="118">
        <f t="shared" si="42"/>
        <v>201666</v>
      </c>
      <c r="V34" s="118">
        <f t="shared" si="42"/>
        <v>154869.6</v>
      </c>
      <c r="W34" s="118">
        <f t="shared" si="42"/>
        <v>14205</v>
      </c>
      <c r="X34" s="118">
        <f t="shared" si="42"/>
        <v>188250</v>
      </c>
      <c r="Y34" s="118">
        <f t="shared" si="42"/>
        <v>143419.20000000001</v>
      </c>
      <c r="Z34" s="118">
        <f>SUM(Z28:Z33)</f>
        <v>13735</v>
      </c>
      <c r="AA34" s="118">
        <f t="shared" si="42"/>
        <v>179600</v>
      </c>
      <c r="AB34" s="118">
        <f t="shared" si="42"/>
        <v>142354.4</v>
      </c>
      <c r="AC34" s="118">
        <f t="shared" si="42"/>
        <v>14240</v>
      </c>
      <c r="AD34" s="118">
        <f t="shared" si="42"/>
        <v>186272</v>
      </c>
      <c r="AE34" s="118">
        <f t="shared" si="42"/>
        <v>147484.16</v>
      </c>
      <c r="AF34" s="118">
        <f>SUM(AF28:AF33)</f>
        <v>13390</v>
      </c>
      <c r="AG34" s="118">
        <f t="shared" si="42"/>
        <v>176400</v>
      </c>
      <c r="AH34" s="118">
        <f t="shared" si="42"/>
        <v>136785.60000000001</v>
      </c>
      <c r="AI34" s="118">
        <f t="shared" si="42"/>
        <v>12135</v>
      </c>
      <c r="AJ34" s="118">
        <f t="shared" si="42"/>
        <v>158310</v>
      </c>
      <c r="AK34" s="118">
        <f t="shared" si="42"/>
        <v>126331.2</v>
      </c>
      <c r="AL34" s="118">
        <f t="shared" si="42"/>
        <v>14050</v>
      </c>
      <c r="AM34" s="118">
        <f t="shared" si="42"/>
        <v>182410</v>
      </c>
      <c r="AN34" s="118">
        <f t="shared" si="42"/>
        <v>147608.79999999999</v>
      </c>
      <c r="AO34" s="118">
        <f t="shared" ref="AO34:AQ34" si="43">SUM(AO28:AO33)</f>
        <v>0</v>
      </c>
      <c r="AP34" s="118">
        <f t="shared" si="43"/>
        <v>0</v>
      </c>
      <c r="AQ34" s="118">
        <f t="shared" si="43"/>
        <v>0</v>
      </c>
    </row>
    <row r="35" spans="1:43" ht="20.100000000000001" hidden="1" customHeight="1" x14ac:dyDescent="0.5">
      <c r="A35" s="39"/>
      <c r="B35" s="30"/>
      <c r="C35" s="30"/>
      <c r="D35" s="30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</row>
    <row r="36" spans="1:43" ht="20.100000000000001" hidden="1" customHeight="1" x14ac:dyDescent="0.5">
      <c r="A36" s="28">
        <v>1</v>
      </c>
      <c r="B36" s="30" t="s">
        <v>6</v>
      </c>
      <c r="C36" s="1">
        <v>0.7</v>
      </c>
      <c r="D36" s="1" t="s">
        <v>96</v>
      </c>
      <c r="E36" s="29">
        <v>8</v>
      </c>
      <c r="F36" s="29">
        <v>96</v>
      </c>
      <c r="G36" s="29">
        <v>67.199999999999989</v>
      </c>
      <c r="H36" s="29">
        <v>16</v>
      </c>
      <c r="I36" s="29">
        <v>192</v>
      </c>
      <c r="J36" s="29">
        <v>134.39999999999998</v>
      </c>
      <c r="K36" s="29"/>
      <c r="L36" s="29"/>
      <c r="M36" s="29"/>
      <c r="N36" s="29"/>
      <c r="O36" s="29"/>
      <c r="P36" s="29"/>
      <c r="Q36" s="29"/>
      <c r="R36" s="29"/>
      <c r="S36" s="29">
        <f>R36*C36</f>
        <v>0</v>
      </c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</row>
    <row r="37" spans="1:43" ht="20.100000000000001" hidden="1" customHeight="1" x14ac:dyDescent="0.5">
      <c r="A37" s="28">
        <v>2</v>
      </c>
      <c r="B37" s="30" t="s">
        <v>5</v>
      </c>
      <c r="C37" s="1">
        <v>0.35</v>
      </c>
      <c r="D37" s="1" t="s">
        <v>98</v>
      </c>
      <c r="E37" s="29">
        <v>2</v>
      </c>
      <c r="F37" s="29">
        <v>48</v>
      </c>
      <c r="G37" s="29">
        <v>16.799999999999997</v>
      </c>
      <c r="H37" s="29">
        <v>4</v>
      </c>
      <c r="I37" s="29">
        <v>96</v>
      </c>
      <c r="J37" s="29">
        <v>33.599999999999994</v>
      </c>
      <c r="K37" s="29"/>
      <c r="L37" s="29"/>
      <c r="M37" s="29"/>
      <c r="N37" s="29"/>
      <c r="O37" s="29"/>
      <c r="P37" s="29"/>
      <c r="Q37" s="29"/>
      <c r="R37" s="29"/>
      <c r="S37" s="29">
        <f>R37*C37</f>
        <v>0</v>
      </c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</row>
    <row r="38" spans="1:43" ht="20.100000000000001" hidden="1" customHeight="1" x14ac:dyDescent="0.5">
      <c r="A38" s="39">
        <v>3</v>
      </c>
      <c r="B38" s="30" t="s">
        <v>4</v>
      </c>
      <c r="C38" s="1">
        <v>0.17499999999999999</v>
      </c>
      <c r="D38" s="1" t="s">
        <v>100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</row>
    <row r="39" spans="1:43" ht="20.100000000000001" hidden="1" customHeight="1" x14ac:dyDescent="0.5">
      <c r="A39" s="39">
        <v>4</v>
      </c>
      <c r="B39" s="30" t="s">
        <v>3</v>
      </c>
      <c r="C39" s="1">
        <v>0.7</v>
      </c>
      <c r="D39" s="1" t="s">
        <v>96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</row>
    <row r="40" spans="1:43" ht="20.100000000000001" hidden="1" customHeight="1" x14ac:dyDescent="0.5">
      <c r="A40" s="39">
        <v>5</v>
      </c>
      <c r="B40" s="30" t="s">
        <v>2</v>
      </c>
      <c r="C40" s="1">
        <v>0.35</v>
      </c>
      <c r="D40" s="1" t="s">
        <v>98</v>
      </c>
      <c r="E40" s="29"/>
      <c r="F40" s="29"/>
      <c r="G40" s="29">
        <f>F40*C40</f>
        <v>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</row>
    <row r="41" spans="1:43" ht="20.100000000000001" hidden="1" customHeight="1" x14ac:dyDescent="0.5">
      <c r="A41" s="39">
        <v>6</v>
      </c>
      <c r="B41" s="30" t="s">
        <v>1</v>
      </c>
      <c r="C41" s="1">
        <v>0.17499999999999999</v>
      </c>
      <c r="D41" s="1" t="s">
        <v>100</v>
      </c>
      <c r="E41" s="29"/>
      <c r="F41" s="29"/>
      <c r="G41" s="29">
        <f t="shared" ref="G41:G43" si="44">F41*C41</f>
        <v>0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</row>
    <row r="42" spans="1:43" ht="20.100000000000001" hidden="1" customHeight="1" x14ac:dyDescent="0.5">
      <c r="A42" s="39">
        <v>7</v>
      </c>
      <c r="B42" s="30" t="s">
        <v>0</v>
      </c>
      <c r="C42" s="1">
        <v>0.7</v>
      </c>
      <c r="D42" s="1" t="s">
        <v>96</v>
      </c>
      <c r="E42" s="29"/>
      <c r="F42" s="29"/>
      <c r="G42" s="29">
        <f t="shared" si="44"/>
        <v>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</row>
    <row r="43" spans="1:43" ht="20.100000000000001" hidden="1" customHeight="1" x14ac:dyDescent="0.5">
      <c r="A43" s="39">
        <v>8</v>
      </c>
      <c r="B43" s="30" t="s">
        <v>8</v>
      </c>
      <c r="C43" s="1">
        <v>0.7</v>
      </c>
      <c r="D43" s="1" t="s">
        <v>96</v>
      </c>
      <c r="E43" s="29"/>
      <c r="F43" s="29"/>
      <c r="G43" s="29">
        <f t="shared" si="44"/>
        <v>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ht="20.100000000000001" hidden="1" customHeight="1" x14ac:dyDescent="0.5">
      <c r="A44" s="39">
        <v>9</v>
      </c>
      <c r="B44" s="30" t="s">
        <v>7</v>
      </c>
      <c r="C44" s="1">
        <v>0.35</v>
      </c>
      <c r="D44" s="1" t="s">
        <v>98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</row>
    <row r="45" spans="1:43" ht="20.100000000000001" hidden="1" customHeight="1" x14ac:dyDescent="0.5">
      <c r="A45" s="46"/>
      <c r="B45" s="239" t="s">
        <v>10</v>
      </c>
      <c r="C45" s="240"/>
      <c r="D45" s="241"/>
      <c r="E45" s="118">
        <f t="shared" ref="E45:AN45" si="45">SUM(E36:E44)</f>
        <v>10</v>
      </c>
      <c r="F45" s="118">
        <f t="shared" si="45"/>
        <v>144</v>
      </c>
      <c r="G45" s="118">
        <f>SUM(G36:G44)</f>
        <v>83.999999999999986</v>
      </c>
      <c r="H45" s="118">
        <f t="shared" si="45"/>
        <v>20</v>
      </c>
      <c r="I45" s="118">
        <f t="shared" si="45"/>
        <v>288</v>
      </c>
      <c r="J45" s="118">
        <f t="shared" si="45"/>
        <v>167.99999999999997</v>
      </c>
      <c r="K45" s="118">
        <f t="shared" si="45"/>
        <v>0</v>
      </c>
      <c r="L45" s="118">
        <f t="shared" si="45"/>
        <v>0</v>
      </c>
      <c r="M45" s="118">
        <f t="shared" si="45"/>
        <v>0</v>
      </c>
      <c r="N45" s="118">
        <f t="shared" si="45"/>
        <v>0</v>
      </c>
      <c r="O45" s="118">
        <f t="shared" si="45"/>
        <v>0</v>
      </c>
      <c r="P45" s="118">
        <f t="shared" si="45"/>
        <v>0</v>
      </c>
      <c r="Q45" s="118">
        <f t="shared" si="45"/>
        <v>0</v>
      </c>
      <c r="R45" s="118">
        <f t="shared" si="45"/>
        <v>0</v>
      </c>
      <c r="S45" s="118">
        <f t="shared" si="45"/>
        <v>0</v>
      </c>
      <c r="T45" s="118">
        <f t="shared" si="45"/>
        <v>0</v>
      </c>
      <c r="U45" s="118">
        <f t="shared" si="45"/>
        <v>0</v>
      </c>
      <c r="V45" s="118">
        <f t="shared" si="45"/>
        <v>0</v>
      </c>
      <c r="W45" s="118">
        <f t="shared" si="45"/>
        <v>0</v>
      </c>
      <c r="X45" s="118">
        <f t="shared" si="45"/>
        <v>0</v>
      </c>
      <c r="Y45" s="118">
        <f t="shared" si="45"/>
        <v>0</v>
      </c>
      <c r="Z45" s="118">
        <f t="shared" si="45"/>
        <v>0</v>
      </c>
      <c r="AA45" s="118">
        <f t="shared" si="45"/>
        <v>0</v>
      </c>
      <c r="AB45" s="118">
        <f t="shared" si="45"/>
        <v>0</v>
      </c>
      <c r="AC45" s="118">
        <f t="shared" si="45"/>
        <v>0</v>
      </c>
      <c r="AD45" s="118">
        <f t="shared" si="45"/>
        <v>0</v>
      </c>
      <c r="AE45" s="118">
        <f t="shared" si="45"/>
        <v>0</v>
      </c>
      <c r="AF45" s="118">
        <f t="shared" si="45"/>
        <v>0</v>
      </c>
      <c r="AG45" s="118">
        <f t="shared" si="45"/>
        <v>0</v>
      </c>
      <c r="AH45" s="118">
        <f t="shared" si="45"/>
        <v>0</v>
      </c>
      <c r="AI45" s="118">
        <f t="shared" si="45"/>
        <v>0</v>
      </c>
      <c r="AJ45" s="118">
        <f t="shared" si="45"/>
        <v>0</v>
      </c>
      <c r="AK45" s="118">
        <f t="shared" si="45"/>
        <v>0</v>
      </c>
      <c r="AL45" s="118">
        <f t="shared" si="45"/>
        <v>0</v>
      </c>
      <c r="AM45" s="118">
        <f t="shared" si="45"/>
        <v>0</v>
      </c>
      <c r="AN45" s="118">
        <f t="shared" si="45"/>
        <v>0</v>
      </c>
      <c r="AO45" s="118">
        <f t="shared" ref="AO45:AQ45" si="46">SUM(AO36:AO44)</f>
        <v>0</v>
      </c>
      <c r="AP45" s="118">
        <f t="shared" si="46"/>
        <v>0</v>
      </c>
      <c r="AQ45" s="118">
        <f t="shared" si="46"/>
        <v>0</v>
      </c>
    </row>
    <row r="46" spans="1:43" s="44" customFormat="1" ht="20.100000000000001" hidden="1" customHeight="1" x14ac:dyDescent="0.5">
      <c r="A46" s="45"/>
      <c r="B46" s="242" t="s">
        <v>49</v>
      </c>
      <c r="C46" s="243"/>
      <c r="D46" s="244"/>
      <c r="E46" s="119">
        <f t="shared" ref="E46:F46" si="47">E34+E45</f>
        <v>12400</v>
      </c>
      <c r="F46" s="119">
        <f t="shared" si="47"/>
        <v>164574</v>
      </c>
      <c r="G46" s="119">
        <f>G34+G45</f>
        <v>124824</v>
      </c>
      <c r="H46" s="119">
        <f>H34+H45</f>
        <v>12619</v>
      </c>
      <c r="I46" s="119">
        <f>I34+I45</f>
        <v>167976</v>
      </c>
      <c r="J46" s="120">
        <f t="shared" ref="J46:L46" si="48">J34+J45</f>
        <v>126276</v>
      </c>
      <c r="K46" s="119">
        <f t="shared" si="48"/>
        <v>14808</v>
      </c>
      <c r="L46" s="119">
        <f t="shared" si="48"/>
        <v>197792</v>
      </c>
      <c r="M46" s="120">
        <f t="shared" ref="M46:O46" si="49">M34+M45</f>
        <v>147150.08000000002</v>
      </c>
      <c r="N46" s="119">
        <f t="shared" si="49"/>
        <v>92400.08</v>
      </c>
      <c r="O46" s="119">
        <f t="shared" si="49"/>
        <v>145772</v>
      </c>
      <c r="P46" s="121">
        <f t="shared" ref="P46:Q46" si="50">P34+P45</f>
        <v>103230.08000000002</v>
      </c>
      <c r="Q46" s="119">
        <f t="shared" si="50"/>
        <v>16251</v>
      </c>
      <c r="R46" s="119"/>
      <c r="S46" s="121">
        <f t="shared" ref="S46:T46" si="51">S34+S45</f>
        <v>162070.56</v>
      </c>
      <c r="T46" s="119">
        <f t="shared" si="51"/>
        <v>15258</v>
      </c>
      <c r="U46" s="119"/>
      <c r="V46" s="121">
        <f t="shared" ref="V46:W46" si="52">V34+V45</f>
        <v>154869.6</v>
      </c>
      <c r="W46" s="119">
        <f t="shared" si="52"/>
        <v>14205</v>
      </c>
      <c r="X46" s="119"/>
      <c r="Y46" s="121">
        <f t="shared" ref="Y46:Z46" si="53">Y34+Y45</f>
        <v>143419.20000000001</v>
      </c>
      <c r="Z46" s="119">
        <f t="shared" si="53"/>
        <v>13735</v>
      </c>
      <c r="AA46" s="119"/>
      <c r="AB46" s="121">
        <f t="shared" ref="AB46:AC46" si="54">AB34+AB45</f>
        <v>142354.4</v>
      </c>
      <c r="AC46" s="119">
        <f t="shared" si="54"/>
        <v>14240</v>
      </c>
      <c r="AD46" s="119"/>
      <c r="AE46" s="121">
        <f t="shared" ref="AE46:AF46" si="55">AE34+AE45</f>
        <v>147484.16</v>
      </c>
      <c r="AF46" s="119">
        <f t="shared" si="55"/>
        <v>13390</v>
      </c>
      <c r="AG46" s="119"/>
      <c r="AH46" s="121">
        <f t="shared" ref="AH46:AI46" si="56">AH34+AH45</f>
        <v>136785.60000000001</v>
      </c>
      <c r="AI46" s="119">
        <f t="shared" si="56"/>
        <v>12135</v>
      </c>
      <c r="AJ46" s="119"/>
      <c r="AK46" s="121">
        <f t="shared" ref="AK46:AL46" si="57">AK34+AK45</f>
        <v>126331.2</v>
      </c>
      <c r="AL46" s="119">
        <f t="shared" si="57"/>
        <v>14050</v>
      </c>
      <c r="AM46" s="119"/>
      <c r="AN46" s="121">
        <f t="shared" ref="AN46:AO46" si="58">AN34+AN45</f>
        <v>147608.79999999999</v>
      </c>
      <c r="AO46" s="119">
        <f t="shared" si="58"/>
        <v>0</v>
      </c>
      <c r="AP46" s="119"/>
      <c r="AQ46" s="121">
        <f t="shared" ref="AQ46" si="59">AQ34+AQ45</f>
        <v>0</v>
      </c>
    </row>
    <row r="49" spans="1:43" ht="25.15" customHeight="1" x14ac:dyDescent="0.5">
      <c r="B49" s="41" t="s">
        <v>160</v>
      </c>
    </row>
    <row r="50" spans="1:43" ht="15" customHeight="1" x14ac:dyDescent="0.5"/>
    <row r="51" spans="1:43" ht="42.75" customHeight="1" x14ac:dyDescent="0.5">
      <c r="A51" s="245" t="s">
        <v>52</v>
      </c>
      <c r="B51" s="245" t="s">
        <v>51</v>
      </c>
      <c r="C51" s="247" t="s">
        <v>117</v>
      </c>
      <c r="D51" s="247" t="s">
        <v>95</v>
      </c>
      <c r="E51" s="256" t="s">
        <v>114</v>
      </c>
      <c r="F51" s="257"/>
      <c r="G51" s="258"/>
      <c r="H51" s="256" t="s">
        <v>58</v>
      </c>
      <c r="I51" s="257"/>
      <c r="J51" s="258"/>
      <c r="K51" s="256" t="s">
        <v>59</v>
      </c>
      <c r="L51" s="257"/>
      <c r="M51" s="258"/>
      <c r="N51" s="256" t="s">
        <v>60</v>
      </c>
      <c r="O51" s="257"/>
      <c r="P51" s="258"/>
      <c r="Q51" s="256" t="s">
        <v>61</v>
      </c>
      <c r="R51" s="257"/>
      <c r="S51" s="258"/>
      <c r="T51" s="256" t="s">
        <v>62</v>
      </c>
      <c r="U51" s="257"/>
      <c r="V51" s="258"/>
      <c r="W51" s="256" t="s">
        <v>63</v>
      </c>
      <c r="X51" s="257"/>
      <c r="Y51" s="258"/>
      <c r="Z51" s="256" t="s">
        <v>64</v>
      </c>
      <c r="AA51" s="257"/>
      <c r="AB51" s="258"/>
      <c r="AC51" s="256" t="s">
        <v>65</v>
      </c>
      <c r="AD51" s="257"/>
      <c r="AE51" s="258"/>
      <c r="AF51" s="256" t="s">
        <v>18</v>
      </c>
      <c r="AG51" s="257"/>
      <c r="AH51" s="258"/>
      <c r="AI51" s="256" t="s">
        <v>17</v>
      </c>
      <c r="AJ51" s="257"/>
      <c r="AK51" s="258"/>
      <c r="AL51" s="256" t="s">
        <v>16</v>
      </c>
      <c r="AM51" s="257"/>
      <c r="AN51" s="258"/>
      <c r="AO51" s="256" t="s">
        <v>10</v>
      </c>
      <c r="AP51" s="257"/>
      <c r="AQ51" s="258"/>
    </row>
    <row r="52" spans="1:43" ht="25.15" customHeight="1" x14ac:dyDescent="0.5">
      <c r="A52" s="246"/>
      <c r="B52" s="246"/>
      <c r="C52" s="248"/>
      <c r="D52" s="248"/>
      <c r="E52" s="123" t="s">
        <v>50</v>
      </c>
      <c r="F52" s="123" t="s">
        <v>56</v>
      </c>
      <c r="G52" s="123" t="s">
        <v>93</v>
      </c>
      <c r="H52" s="123" t="s">
        <v>50</v>
      </c>
      <c r="I52" s="123" t="s">
        <v>56</v>
      </c>
      <c r="J52" s="123" t="s">
        <v>57</v>
      </c>
      <c r="K52" s="123" t="s">
        <v>50</v>
      </c>
      <c r="L52" s="123" t="s">
        <v>56</v>
      </c>
      <c r="M52" s="123" t="s">
        <v>57</v>
      </c>
      <c r="N52" s="123" t="s">
        <v>50</v>
      </c>
      <c r="O52" s="123" t="s">
        <v>56</v>
      </c>
      <c r="P52" s="123" t="s">
        <v>57</v>
      </c>
      <c r="Q52" s="123" t="s">
        <v>50</v>
      </c>
      <c r="R52" s="123" t="s">
        <v>56</v>
      </c>
      <c r="S52" s="123" t="s">
        <v>57</v>
      </c>
      <c r="T52" s="123" t="s">
        <v>50</v>
      </c>
      <c r="U52" s="123" t="s">
        <v>56</v>
      </c>
      <c r="V52" s="123" t="s">
        <v>57</v>
      </c>
      <c r="W52" s="123" t="s">
        <v>50</v>
      </c>
      <c r="X52" s="123" t="s">
        <v>56</v>
      </c>
      <c r="Y52" s="123" t="s">
        <v>57</v>
      </c>
      <c r="Z52" s="123" t="s">
        <v>50</v>
      </c>
      <c r="AA52" s="123" t="s">
        <v>56</v>
      </c>
      <c r="AB52" s="123" t="s">
        <v>57</v>
      </c>
      <c r="AC52" s="123" t="s">
        <v>50</v>
      </c>
      <c r="AD52" s="123" t="s">
        <v>56</v>
      </c>
      <c r="AE52" s="123" t="s">
        <v>57</v>
      </c>
      <c r="AF52" s="123" t="s">
        <v>50</v>
      </c>
      <c r="AG52" s="123" t="s">
        <v>56</v>
      </c>
      <c r="AH52" s="123" t="s">
        <v>57</v>
      </c>
      <c r="AI52" s="123" t="s">
        <v>50</v>
      </c>
      <c r="AJ52" s="123" t="s">
        <v>56</v>
      </c>
      <c r="AK52" s="123" t="s">
        <v>57</v>
      </c>
      <c r="AL52" s="123" t="s">
        <v>50</v>
      </c>
      <c r="AM52" s="123" t="s">
        <v>56</v>
      </c>
      <c r="AN52" s="123" t="s">
        <v>57</v>
      </c>
      <c r="AO52" s="123" t="s">
        <v>50</v>
      </c>
      <c r="AP52" s="123" t="s">
        <v>56</v>
      </c>
      <c r="AQ52" s="123" t="s">
        <v>57</v>
      </c>
    </row>
    <row r="53" spans="1:43" ht="20.100000000000001" customHeight="1" x14ac:dyDescent="0.5">
      <c r="A53" s="28">
        <v>2</v>
      </c>
      <c r="B53" s="1" t="s">
        <v>83</v>
      </c>
      <c r="C53" s="30">
        <v>1</v>
      </c>
      <c r="D53" s="30" t="s">
        <v>96</v>
      </c>
      <c r="E53" s="28">
        <v>7455</v>
      </c>
      <c r="F53" s="28">
        <v>89460</v>
      </c>
      <c r="G53" s="29">
        <v>89460</v>
      </c>
      <c r="H53" s="28">
        <v>6105</v>
      </c>
      <c r="I53" s="28">
        <v>73260</v>
      </c>
      <c r="J53" s="28">
        <v>73260</v>
      </c>
      <c r="K53" s="28"/>
      <c r="L53" s="28"/>
      <c r="M53" s="28"/>
      <c r="N53" s="28"/>
      <c r="O53" s="28"/>
      <c r="P53" s="57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28"/>
      <c r="AO53" s="95"/>
      <c r="AP53" s="95"/>
      <c r="AQ53" s="28"/>
    </row>
    <row r="54" spans="1:43" ht="20.100000000000001" customHeight="1" x14ac:dyDescent="0.5">
      <c r="A54" s="28">
        <v>3</v>
      </c>
      <c r="B54" s="1" t="s">
        <v>88</v>
      </c>
      <c r="C54" s="1">
        <v>0.64</v>
      </c>
      <c r="D54" s="1" t="s">
        <v>99</v>
      </c>
      <c r="E54" s="28">
        <v>6775</v>
      </c>
      <c r="F54" s="28">
        <v>94850</v>
      </c>
      <c r="G54" s="29">
        <v>60703.999999999993</v>
      </c>
      <c r="H54" s="28">
        <v>6835</v>
      </c>
      <c r="I54" s="28">
        <v>95690</v>
      </c>
      <c r="J54" s="28">
        <v>61241.599999999999</v>
      </c>
      <c r="K54" s="28"/>
      <c r="L54" s="28"/>
      <c r="M54" s="28"/>
      <c r="N54" s="28"/>
      <c r="O54" s="28"/>
      <c r="P54" s="57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28"/>
      <c r="AO54" s="95"/>
      <c r="AP54" s="95"/>
      <c r="AQ54" s="28"/>
    </row>
    <row r="55" spans="1:43" ht="20.100000000000001" customHeight="1" x14ac:dyDescent="0.5">
      <c r="A55" s="28">
        <v>4</v>
      </c>
      <c r="B55" s="1" t="s">
        <v>145</v>
      </c>
      <c r="C55" s="1">
        <v>0.64</v>
      </c>
      <c r="D55" s="1" t="s">
        <v>99</v>
      </c>
      <c r="E55" s="57"/>
      <c r="F55" s="57"/>
      <c r="G55" s="84"/>
      <c r="H55" s="57"/>
      <c r="I55" s="57"/>
      <c r="J55" s="28"/>
      <c r="K55" s="57"/>
      <c r="L55" s="57"/>
      <c r="M55" s="28"/>
      <c r="N55" s="57"/>
      <c r="O55" s="57"/>
      <c r="P55" s="57"/>
      <c r="Q55" s="113"/>
      <c r="R55" s="113"/>
      <c r="S55" s="95"/>
      <c r="T55" s="113"/>
      <c r="U55" s="113"/>
      <c r="V55" s="95"/>
      <c r="W55" s="113"/>
      <c r="X55" s="113"/>
      <c r="Y55" s="95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57"/>
      <c r="AO55" s="113"/>
      <c r="AP55" s="113"/>
      <c r="AQ55" s="57"/>
    </row>
    <row r="56" spans="1:43" ht="20.100000000000001" customHeight="1" x14ac:dyDescent="0.5">
      <c r="A56" s="28">
        <v>5</v>
      </c>
      <c r="B56" s="1" t="s">
        <v>120</v>
      </c>
      <c r="C56" s="1">
        <v>1</v>
      </c>
      <c r="D56" s="1" t="s">
        <v>135</v>
      </c>
      <c r="E56" s="57"/>
      <c r="F56" s="57"/>
      <c r="G56" s="84"/>
      <c r="H56" s="57"/>
      <c r="I56" s="57"/>
      <c r="J56" s="28"/>
      <c r="K56" s="57"/>
      <c r="L56" s="57"/>
      <c r="M56" s="28"/>
      <c r="N56" s="57"/>
      <c r="O56" s="57"/>
      <c r="P56" s="57"/>
      <c r="Q56" s="113"/>
      <c r="R56" s="113"/>
      <c r="S56" s="95"/>
      <c r="T56" s="113"/>
      <c r="U56" s="113"/>
      <c r="V56" s="95"/>
      <c r="W56" s="113"/>
      <c r="X56" s="113"/>
      <c r="Y56" s="95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57"/>
      <c r="AO56" s="113"/>
      <c r="AP56" s="113"/>
      <c r="AQ56" s="57"/>
    </row>
    <row r="57" spans="1:43" ht="20.100000000000001" customHeight="1" x14ac:dyDescent="0.5">
      <c r="A57" s="28">
        <v>6</v>
      </c>
      <c r="B57" s="1" t="s">
        <v>89</v>
      </c>
      <c r="C57" s="30">
        <v>0.64</v>
      </c>
      <c r="D57" s="30" t="s">
        <v>99</v>
      </c>
      <c r="E57" s="57"/>
      <c r="F57" s="57"/>
      <c r="G57" s="84"/>
      <c r="H57" s="57">
        <v>10</v>
      </c>
      <c r="I57" s="57">
        <v>140</v>
      </c>
      <c r="J57" s="28">
        <v>89.600000000000009</v>
      </c>
      <c r="K57" s="57"/>
      <c r="L57" s="57"/>
      <c r="M57" s="28"/>
      <c r="N57" s="57"/>
      <c r="O57" s="57"/>
      <c r="P57" s="57"/>
      <c r="Q57" s="113"/>
      <c r="R57" s="113"/>
      <c r="S57" s="95"/>
      <c r="T57" s="113"/>
      <c r="U57" s="113"/>
      <c r="V57" s="95"/>
      <c r="W57" s="113"/>
      <c r="X57" s="113"/>
      <c r="Y57" s="95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57"/>
      <c r="AO57" s="113"/>
      <c r="AP57" s="113"/>
      <c r="AQ57" s="57"/>
    </row>
    <row r="58" spans="1:43" ht="20.100000000000001" customHeight="1" x14ac:dyDescent="0.5">
      <c r="A58" s="28">
        <v>7</v>
      </c>
      <c r="B58" s="1" t="s">
        <v>74</v>
      </c>
      <c r="C58" s="30">
        <v>1</v>
      </c>
      <c r="D58" s="30" t="s">
        <v>96</v>
      </c>
      <c r="E58" s="57"/>
      <c r="F58" s="57"/>
      <c r="G58" s="84"/>
      <c r="H58" s="57">
        <v>30</v>
      </c>
      <c r="I58" s="57">
        <v>360</v>
      </c>
      <c r="J58" s="28">
        <v>360</v>
      </c>
      <c r="K58" s="57"/>
      <c r="L58" s="57"/>
      <c r="M58" s="28"/>
      <c r="N58" s="57"/>
      <c r="O58" s="57"/>
      <c r="P58" s="57"/>
      <c r="Q58" s="113"/>
      <c r="R58" s="113"/>
      <c r="S58" s="95"/>
      <c r="T58" s="113"/>
      <c r="U58" s="113"/>
      <c r="V58" s="95"/>
      <c r="W58" s="113"/>
      <c r="X58" s="113"/>
      <c r="Y58" s="95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57"/>
      <c r="AO58" s="113"/>
      <c r="AP58" s="113"/>
      <c r="AQ58" s="57"/>
    </row>
    <row r="59" spans="1:43" ht="20.100000000000001" customHeight="1" x14ac:dyDescent="0.5">
      <c r="A59" s="28">
        <v>8</v>
      </c>
      <c r="B59" s="1" t="s">
        <v>75</v>
      </c>
      <c r="C59" s="30">
        <v>1</v>
      </c>
      <c r="D59" s="30" t="s">
        <v>96</v>
      </c>
      <c r="E59" s="57"/>
      <c r="F59" s="57"/>
      <c r="G59" s="84"/>
      <c r="H59" s="57">
        <v>15</v>
      </c>
      <c r="I59" s="57">
        <v>180</v>
      </c>
      <c r="J59" s="28">
        <v>180</v>
      </c>
      <c r="K59" s="57"/>
      <c r="L59" s="57"/>
      <c r="M59" s="28"/>
      <c r="N59" s="57"/>
      <c r="O59" s="57"/>
      <c r="P59" s="57"/>
      <c r="Q59" s="113"/>
      <c r="R59" s="113"/>
      <c r="S59" s="95"/>
      <c r="T59" s="113"/>
      <c r="U59" s="113"/>
      <c r="V59" s="95"/>
      <c r="W59" s="113"/>
      <c r="X59" s="113"/>
      <c r="Y59" s="95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57"/>
      <c r="AO59" s="113"/>
      <c r="AP59" s="113"/>
      <c r="AQ59" s="57"/>
    </row>
    <row r="60" spans="1:43" ht="20.100000000000001" customHeight="1" x14ac:dyDescent="0.5">
      <c r="A60" s="28">
        <v>9</v>
      </c>
      <c r="B60" s="1" t="s">
        <v>9</v>
      </c>
      <c r="C60" s="1">
        <v>0.64</v>
      </c>
      <c r="D60" s="1" t="s">
        <v>99</v>
      </c>
      <c r="E60" s="57"/>
      <c r="F60" s="57"/>
      <c r="G60" s="84"/>
      <c r="H60" s="57">
        <v>30</v>
      </c>
      <c r="I60" s="57">
        <v>420</v>
      </c>
      <c r="J60" s="28">
        <v>268.8</v>
      </c>
      <c r="K60" s="57"/>
      <c r="L60" s="57"/>
      <c r="M60" s="28"/>
      <c r="N60" s="57"/>
      <c r="O60" s="57"/>
      <c r="P60" s="57"/>
      <c r="Q60" s="113"/>
      <c r="R60" s="113"/>
      <c r="S60" s="95"/>
      <c r="T60" s="113"/>
      <c r="U60" s="113"/>
      <c r="V60" s="95"/>
      <c r="W60" s="113"/>
      <c r="X60" s="113"/>
      <c r="Y60" s="95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57"/>
      <c r="AO60" s="113"/>
      <c r="AP60" s="113"/>
      <c r="AQ60" s="57"/>
    </row>
    <row r="61" spans="1:43" ht="20.100000000000001" customHeight="1" x14ac:dyDescent="0.5">
      <c r="A61" s="28">
        <v>10</v>
      </c>
      <c r="B61" s="30" t="s">
        <v>90</v>
      </c>
      <c r="C61" s="30">
        <v>1</v>
      </c>
      <c r="D61" s="30" t="s">
        <v>96</v>
      </c>
      <c r="E61" s="57"/>
      <c r="F61" s="57"/>
      <c r="G61" s="84"/>
      <c r="H61" s="57">
        <v>15</v>
      </c>
      <c r="I61" s="57">
        <v>180</v>
      </c>
      <c r="J61" s="57">
        <v>180</v>
      </c>
      <c r="K61" s="57"/>
      <c r="L61" s="57"/>
      <c r="M61" s="57"/>
      <c r="N61" s="57"/>
      <c r="O61" s="57"/>
      <c r="P61" s="57"/>
      <c r="Q61" s="113"/>
      <c r="R61" s="113"/>
      <c r="S61" s="95"/>
      <c r="T61" s="113"/>
      <c r="U61" s="113"/>
      <c r="V61" s="95"/>
      <c r="W61" s="113"/>
      <c r="X61" s="113"/>
      <c r="Y61" s="95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57"/>
      <c r="AO61" s="113"/>
      <c r="AP61" s="113"/>
      <c r="AQ61" s="57"/>
    </row>
    <row r="62" spans="1:43" ht="20.100000000000001" customHeight="1" x14ac:dyDescent="0.5">
      <c r="A62" s="28">
        <v>11</v>
      </c>
      <c r="B62" s="1" t="s">
        <v>92</v>
      </c>
      <c r="C62" s="1">
        <v>0.64</v>
      </c>
      <c r="D62" s="1" t="s">
        <v>98</v>
      </c>
      <c r="E62" s="57"/>
      <c r="F62" s="57"/>
      <c r="G62" s="84"/>
      <c r="H62" s="57"/>
      <c r="I62" s="57"/>
      <c r="J62" s="57"/>
      <c r="K62" s="57"/>
      <c r="L62" s="57"/>
      <c r="M62" s="57"/>
      <c r="N62" s="57"/>
      <c r="O62" s="57"/>
      <c r="P62" s="57"/>
      <c r="Q62" s="113"/>
      <c r="R62" s="113"/>
      <c r="S62" s="95"/>
      <c r="T62" s="113"/>
      <c r="U62" s="113"/>
      <c r="V62" s="95"/>
      <c r="W62" s="113"/>
      <c r="X62" s="113"/>
      <c r="Y62" s="95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57"/>
      <c r="AO62" s="113"/>
      <c r="AP62" s="113"/>
      <c r="AQ62" s="57"/>
    </row>
    <row r="63" spans="1:43" s="41" customFormat="1" ht="20.100000000000001" customHeight="1" x14ac:dyDescent="0.5">
      <c r="A63" s="24"/>
      <c r="B63" s="239" t="s">
        <v>10</v>
      </c>
      <c r="C63" s="240"/>
      <c r="D63" s="241"/>
      <c r="E63" s="118">
        <f>SUM(E53:E60)</f>
        <v>14230</v>
      </c>
      <c r="F63" s="118">
        <f t="shared" ref="F63:G63" si="60">SUM(F53:F60)</f>
        <v>184310</v>
      </c>
      <c r="G63" s="118">
        <f t="shared" si="60"/>
        <v>150164</v>
      </c>
      <c r="H63" s="118">
        <f>SUM(H53:H62)</f>
        <v>13040</v>
      </c>
      <c r="I63" s="118">
        <f t="shared" ref="I63:J63" si="61">SUM(I53:I62)</f>
        <v>170230</v>
      </c>
      <c r="J63" s="118">
        <f t="shared" si="61"/>
        <v>135580</v>
      </c>
      <c r="K63" s="118">
        <f>SUM(K53:K60)</f>
        <v>0</v>
      </c>
      <c r="L63" s="118">
        <f>SUM(L53:L60)</f>
        <v>0</v>
      </c>
      <c r="M63" s="118">
        <f>SUM(M53:M60)</f>
        <v>0</v>
      </c>
      <c r="N63" s="118">
        <f t="shared" ref="N63:Y63" si="62">SUM(N53:N62)</f>
        <v>0</v>
      </c>
      <c r="O63" s="118">
        <f t="shared" si="62"/>
        <v>0</v>
      </c>
      <c r="P63" s="118">
        <f t="shared" si="62"/>
        <v>0</v>
      </c>
      <c r="Q63" s="118">
        <f t="shared" si="62"/>
        <v>0</v>
      </c>
      <c r="R63" s="118">
        <f t="shared" si="62"/>
        <v>0</v>
      </c>
      <c r="S63" s="118">
        <f t="shared" si="62"/>
        <v>0</v>
      </c>
      <c r="T63" s="118">
        <f t="shared" si="62"/>
        <v>0</v>
      </c>
      <c r="U63" s="118">
        <f t="shared" si="62"/>
        <v>0</v>
      </c>
      <c r="V63" s="118">
        <f t="shared" si="62"/>
        <v>0</v>
      </c>
      <c r="W63" s="118">
        <f t="shared" si="62"/>
        <v>0</v>
      </c>
      <c r="X63" s="118">
        <f t="shared" si="62"/>
        <v>0</v>
      </c>
      <c r="Y63" s="118">
        <f t="shared" si="62"/>
        <v>0</v>
      </c>
      <c r="Z63" s="118">
        <f>SUM(Z53:Z62)</f>
        <v>0</v>
      </c>
      <c r="AA63" s="118">
        <f t="shared" ref="AA63:AE63" si="63">SUM(AA53:AA62)</f>
        <v>0</v>
      </c>
      <c r="AB63" s="118">
        <f t="shared" si="63"/>
        <v>0</v>
      </c>
      <c r="AC63" s="118">
        <f t="shared" si="63"/>
        <v>0</v>
      </c>
      <c r="AD63" s="118">
        <f t="shared" si="63"/>
        <v>0</v>
      </c>
      <c r="AE63" s="118">
        <f t="shared" si="63"/>
        <v>0</v>
      </c>
      <c r="AF63" s="118">
        <f>SUM(AF53:AF62)</f>
        <v>0</v>
      </c>
      <c r="AG63" s="118">
        <f t="shared" ref="AG63:AQ63" si="64">SUM(AG53:AG62)</f>
        <v>0</v>
      </c>
      <c r="AH63" s="118">
        <f t="shared" si="64"/>
        <v>0</v>
      </c>
      <c r="AI63" s="118">
        <f t="shared" si="64"/>
        <v>0</v>
      </c>
      <c r="AJ63" s="118">
        <f t="shared" si="64"/>
        <v>0</v>
      </c>
      <c r="AK63" s="118">
        <f t="shared" si="64"/>
        <v>0</v>
      </c>
      <c r="AL63" s="118">
        <f t="shared" si="64"/>
        <v>0</v>
      </c>
      <c r="AM63" s="118">
        <f t="shared" si="64"/>
        <v>0</v>
      </c>
      <c r="AN63" s="118">
        <f t="shared" si="64"/>
        <v>0</v>
      </c>
      <c r="AO63" s="118">
        <f t="shared" si="64"/>
        <v>0</v>
      </c>
      <c r="AP63" s="118">
        <f t="shared" si="64"/>
        <v>0</v>
      </c>
      <c r="AQ63" s="118">
        <f t="shared" si="64"/>
        <v>0</v>
      </c>
    </row>
  </sheetData>
  <mergeCells count="58">
    <mergeCell ref="AO26:AQ26"/>
    <mergeCell ref="AC3:AE3"/>
    <mergeCell ref="AF3:AH3"/>
    <mergeCell ref="AI3:AK3"/>
    <mergeCell ref="AL3:AN3"/>
    <mergeCell ref="AO3:AQ3"/>
    <mergeCell ref="B20:D20"/>
    <mergeCell ref="B21:D21"/>
    <mergeCell ref="T3:V3"/>
    <mergeCell ref="W3:Y3"/>
    <mergeCell ref="Z3:AB3"/>
    <mergeCell ref="H3:J3"/>
    <mergeCell ref="K3:M3"/>
    <mergeCell ref="N3:P3"/>
    <mergeCell ref="Q3:S3"/>
    <mergeCell ref="B9:D9"/>
    <mergeCell ref="A3:A4"/>
    <mergeCell ref="B3:B4"/>
    <mergeCell ref="C3:C4"/>
    <mergeCell ref="D3:D4"/>
    <mergeCell ref="E3:G3"/>
    <mergeCell ref="Q26:S26"/>
    <mergeCell ref="B45:D45"/>
    <mergeCell ref="AF26:AH26"/>
    <mergeCell ref="AI26:AK26"/>
    <mergeCell ref="AL26:AN26"/>
    <mergeCell ref="E26:G26"/>
    <mergeCell ref="H26:J26"/>
    <mergeCell ref="K26:M26"/>
    <mergeCell ref="N26:P26"/>
    <mergeCell ref="T26:V26"/>
    <mergeCell ref="W26:Y26"/>
    <mergeCell ref="Z26:AB26"/>
    <mergeCell ref="AC26:AE26"/>
    <mergeCell ref="B34:D34"/>
    <mergeCell ref="B46:D46"/>
    <mergeCell ref="A26:A27"/>
    <mergeCell ref="B26:B27"/>
    <mergeCell ref="C26:C27"/>
    <mergeCell ref="D26:D27"/>
    <mergeCell ref="A51:A52"/>
    <mergeCell ref="B51:B52"/>
    <mergeCell ref="C51:C52"/>
    <mergeCell ref="D51:D52"/>
    <mergeCell ref="E51:G51"/>
    <mergeCell ref="AL51:AN51"/>
    <mergeCell ref="AO51:AQ51"/>
    <mergeCell ref="B63:D63"/>
    <mergeCell ref="W51:Y51"/>
    <mergeCell ref="Z51:AB51"/>
    <mergeCell ref="AC51:AE51"/>
    <mergeCell ref="AF51:AH51"/>
    <mergeCell ref="AI51:AK51"/>
    <mergeCell ref="H51:J51"/>
    <mergeCell ref="K51:M51"/>
    <mergeCell ref="N51:P51"/>
    <mergeCell ref="Q51:S51"/>
    <mergeCell ref="T51:V5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DF26-7FE2-4DE9-B259-10C787CBA44B}">
  <sheetPr>
    <tabColor rgb="FFFF0000"/>
  </sheetPr>
  <dimension ref="A1:AQ137"/>
  <sheetViews>
    <sheetView workbookViewId="0">
      <pane xSplit="4" ySplit="4" topLeftCell="E56" activePane="bottomRight" state="frozen"/>
      <selection pane="topRight" activeCell="E1" sqref="E1"/>
      <selection pane="bottomLeft" activeCell="A5" sqref="A5"/>
      <selection pane="bottomRight" activeCell="E114" sqref="E114:AN115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bestFit="1" customWidth="1"/>
    <col min="7" max="7" width="8.5703125" style="42" bestFit="1" customWidth="1"/>
    <col min="8" max="41" width="6.7109375" style="42" customWidth="1"/>
    <col min="42" max="43" width="7.140625" style="42" bestFit="1" customWidth="1"/>
    <col min="44" max="16384" width="9.7109375" style="42"/>
  </cols>
  <sheetData>
    <row r="1" spans="1:43" x14ac:dyDescent="0.5">
      <c r="B1" s="41" t="s">
        <v>138</v>
      </c>
    </row>
    <row r="3" spans="1:43" x14ac:dyDescent="0.5">
      <c r="A3" s="245" t="s">
        <v>52</v>
      </c>
      <c r="B3" s="245" t="s">
        <v>51</v>
      </c>
      <c r="C3" s="247" t="s">
        <v>117</v>
      </c>
      <c r="D3" s="247" t="s">
        <v>95</v>
      </c>
      <c r="E3" s="236" t="s">
        <v>19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5">
      <c r="A4" s="246"/>
      <c r="B4" s="246"/>
      <c r="C4" s="248"/>
      <c r="D4" s="248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5">
      <c r="A5" s="28">
        <v>1</v>
      </c>
      <c r="B5" s="1" t="s">
        <v>74</v>
      </c>
      <c r="C5" s="30">
        <v>1</v>
      </c>
      <c r="D5" s="30" t="s">
        <v>96</v>
      </c>
      <c r="E5" s="29"/>
      <c r="F5" s="29"/>
      <c r="G5" s="29">
        <f>C5*F5</f>
        <v>0</v>
      </c>
      <c r="H5" s="29"/>
      <c r="I5" s="29"/>
      <c r="J5" s="29">
        <f>I5*C5</f>
        <v>0</v>
      </c>
      <c r="K5" s="29"/>
      <c r="L5" s="29"/>
      <c r="M5" s="29">
        <f>L5*C5</f>
        <v>0</v>
      </c>
      <c r="N5" s="29"/>
      <c r="O5" s="29"/>
      <c r="P5" s="29">
        <f>O5*C5</f>
        <v>0</v>
      </c>
      <c r="Q5" s="29"/>
      <c r="R5" s="29"/>
      <c r="S5" s="29">
        <f>R5*C5</f>
        <v>0</v>
      </c>
      <c r="T5" s="29"/>
      <c r="U5" s="29"/>
      <c r="V5" s="29">
        <f>U5*C5</f>
        <v>0</v>
      </c>
      <c r="W5" s="29"/>
      <c r="X5" s="29"/>
      <c r="Y5" s="29">
        <f>X5*C5</f>
        <v>0</v>
      </c>
      <c r="Z5" s="29"/>
      <c r="AA5" s="29"/>
      <c r="AB5" s="29">
        <f>AA5*C5</f>
        <v>0</v>
      </c>
      <c r="AC5" s="29"/>
      <c r="AD5" s="29"/>
      <c r="AE5" s="29">
        <f>AD5*C5</f>
        <v>0</v>
      </c>
      <c r="AF5" s="29"/>
      <c r="AG5" s="29"/>
      <c r="AH5" s="29">
        <f>AG5*C5</f>
        <v>0</v>
      </c>
      <c r="AI5" s="29"/>
      <c r="AJ5" s="29"/>
      <c r="AK5" s="29"/>
      <c r="AL5" s="29"/>
      <c r="AM5" s="29"/>
      <c r="AN5" s="29">
        <f>AM5*C5</f>
        <v>0</v>
      </c>
      <c r="AO5" s="29">
        <f t="shared" ref="AO5:AO7" si="0">E5+H5+K5+N5+Q5+T5+W5+Z5+AC5+AF5+AI5+AL5</f>
        <v>0</v>
      </c>
      <c r="AP5" s="29">
        <f t="shared" ref="AP5:AP7" si="1">F5+I5+L5+O5+R5+U5+X5+AA5+AD5+AG5+AJ5+AM5</f>
        <v>0</v>
      </c>
      <c r="AQ5" s="29">
        <f t="shared" ref="AQ5:AQ7" si="2">G5+J5+M5+P5+S5+V5+Y5+AB5+AE5+AH5+AK5+AN5</f>
        <v>0</v>
      </c>
    </row>
    <row r="6" spans="1:43" x14ac:dyDescent="0.5">
      <c r="A6" s="28">
        <v>2</v>
      </c>
      <c r="B6" s="1" t="s">
        <v>88</v>
      </c>
      <c r="C6" s="30">
        <v>0.64</v>
      </c>
      <c r="D6" s="30" t="s">
        <v>119</v>
      </c>
      <c r="E6" s="29">
        <v>160</v>
      </c>
      <c r="F6" s="29">
        <v>2240</v>
      </c>
      <c r="G6" s="29">
        <f t="shared" ref="G6:G7" si="3">C6*F6</f>
        <v>1433.6000000000001</v>
      </c>
      <c r="H6" s="29">
        <v>160</v>
      </c>
      <c r="I6" s="29">
        <v>2240</v>
      </c>
      <c r="J6" s="29">
        <f t="shared" ref="J6:J7" si="4">I6*C6</f>
        <v>1433.6000000000001</v>
      </c>
      <c r="K6" s="29">
        <v>160</v>
      </c>
      <c r="L6" s="29">
        <v>2240</v>
      </c>
      <c r="M6" s="29">
        <f t="shared" ref="M6:M7" si="5">L6*C6</f>
        <v>1433.6000000000001</v>
      </c>
      <c r="N6" s="29"/>
      <c r="O6" s="29"/>
      <c r="P6" s="29">
        <f t="shared" ref="P6:P7" si="6">O6*C6</f>
        <v>0</v>
      </c>
      <c r="Q6" s="29">
        <v>120</v>
      </c>
      <c r="R6" s="29">
        <v>1680</v>
      </c>
      <c r="S6" s="29">
        <f t="shared" ref="S6:S7" si="7">R6*C6</f>
        <v>1075.2</v>
      </c>
      <c r="T6" s="29">
        <v>140</v>
      </c>
      <c r="U6" s="29">
        <v>1960</v>
      </c>
      <c r="V6" s="29">
        <f t="shared" ref="V6:V7" si="8">U6*C6</f>
        <v>1254.4000000000001</v>
      </c>
      <c r="W6" s="29">
        <v>170</v>
      </c>
      <c r="X6" s="29">
        <v>2380</v>
      </c>
      <c r="Y6" s="29">
        <f t="shared" ref="Y6:Y7" si="9">X6*C6</f>
        <v>1523.2</v>
      </c>
      <c r="Z6" s="29">
        <v>80</v>
      </c>
      <c r="AA6" s="29">
        <v>1120</v>
      </c>
      <c r="AB6" s="29">
        <f t="shared" ref="AB6:AB7" si="10">AA6*C6</f>
        <v>716.80000000000007</v>
      </c>
      <c r="AC6" s="29"/>
      <c r="AD6" s="29"/>
      <c r="AE6" s="29">
        <f t="shared" ref="AE6:AE7" si="11">AD6*C6</f>
        <v>0</v>
      </c>
      <c r="AF6" s="29">
        <v>30</v>
      </c>
      <c r="AG6" s="29">
        <v>420</v>
      </c>
      <c r="AH6" s="29">
        <f t="shared" ref="AH6:AH7" si="12">AG6*C6</f>
        <v>268.8</v>
      </c>
      <c r="AI6" s="29">
        <v>100</v>
      </c>
      <c r="AJ6" s="29">
        <v>1400</v>
      </c>
      <c r="AK6" s="29">
        <f t="shared" ref="AK6:AK7" si="13">AJ6*C6</f>
        <v>896</v>
      </c>
      <c r="AL6" s="29"/>
      <c r="AM6" s="29"/>
      <c r="AN6" s="29">
        <f t="shared" ref="AN6:AN7" si="14">AM6*C6</f>
        <v>0</v>
      </c>
      <c r="AO6" s="29">
        <f t="shared" si="0"/>
        <v>1120</v>
      </c>
      <c r="AP6" s="29">
        <f t="shared" si="1"/>
        <v>15680</v>
      </c>
      <c r="AQ6" s="29">
        <f t="shared" si="2"/>
        <v>10035.199999999999</v>
      </c>
    </row>
    <row r="7" spans="1:43" x14ac:dyDescent="0.5">
      <c r="A7" s="28">
        <v>3</v>
      </c>
      <c r="B7" s="1" t="s">
        <v>89</v>
      </c>
      <c r="C7" s="30">
        <v>0.64</v>
      </c>
      <c r="D7" s="30" t="s">
        <v>119</v>
      </c>
      <c r="E7" s="29">
        <v>40</v>
      </c>
      <c r="F7" s="29">
        <v>560</v>
      </c>
      <c r="G7" s="29">
        <f t="shared" si="3"/>
        <v>358.40000000000003</v>
      </c>
      <c r="H7" s="29">
        <v>40</v>
      </c>
      <c r="I7" s="29">
        <v>560</v>
      </c>
      <c r="J7" s="29">
        <f t="shared" si="4"/>
        <v>358.40000000000003</v>
      </c>
      <c r="K7" s="29">
        <v>40</v>
      </c>
      <c r="L7" s="29">
        <v>560</v>
      </c>
      <c r="M7" s="29">
        <f t="shared" si="5"/>
        <v>358.40000000000003</v>
      </c>
      <c r="N7" s="29"/>
      <c r="O7" s="29"/>
      <c r="P7" s="29">
        <f t="shared" si="6"/>
        <v>0</v>
      </c>
      <c r="Q7" s="29">
        <v>80</v>
      </c>
      <c r="R7" s="29">
        <v>1120</v>
      </c>
      <c r="S7" s="29">
        <f t="shared" si="7"/>
        <v>716.80000000000007</v>
      </c>
      <c r="T7" s="29">
        <v>60</v>
      </c>
      <c r="U7" s="29">
        <v>840</v>
      </c>
      <c r="V7" s="29">
        <f t="shared" si="8"/>
        <v>537.6</v>
      </c>
      <c r="W7" s="29">
        <v>30</v>
      </c>
      <c r="X7" s="29">
        <v>420</v>
      </c>
      <c r="Y7" s="29">
        <f t="shared" si="9"/>
        <v>268.8</v>
      </c>
      <c r="Z7" s="29">
        <v>120</v>
      </c>
      <c r="AA7" s="29">
        <v>1680</v>
      </c>
      <c r="AB7" s="29">
        <f t="shared" si="10"/>
        <v>1075.2</v>
      </c>
      <c r="AC7" s="29">
        <v>200</v>
      </c>
      <c r="AD7" s="29">
        <v>2800</v>
      </c>
      <c r="AE7" s="29">
        <f t="shared" si="11"/>
        <v>1792</v>
      </c>
      <c r="AF7" s="29">
        <v>170</v>
      </c>
      <c r="AG7" s="29">
        <v>2380</v>
      </c>
      <c r="AH7" s="29">
        <f t="shared" si="12"/>
        <v>1523.2</v>
      </c>
      <c r="AI7" s="29"/>
      <c r="AJ7" s="29"/>
      <c r="AK7" s="29">
        <f t="shared" si="13"/>
        <v>0</v>
      </c>
      <c r="AL7" s="29"/>
      <c r="AM7" s="29"/>
      <c r="AN7" s="29">
        <f t="shared" si="14"/>
        <v>0</v>
      </c>
      <c r="AO7" s="29">
        <f t="shared" si="0"/>
        <v>780</v>
      </c>
      <c r="AP7" s="29">
        <f t="shared" si="1"/>
        <v>10920</v>
      </c>
      <c r="AQ7" s="29">
        <f t="shared" si="2"/>
        <v>6988.8</v>
      </c>
    </row>
    <row r="8" spans="1:43" x14ac:dyDescent="0.5">
      <c r="A8" s="24"/>
      <c r="B8" s="239" t="s">
        <v>10</v>
      </c>
      <c r="C8" s="240"/>
      <c r="D8" s="241"/>
      <c r="E8" s="22">
        <f t="shared" ref="E8:AQ8" si="15">SUM(E5:E7)</f>
        <v>200</v>
      </c>
      <c r="F8" s="22">
        <f t="shared" si="15"/>
        <v>2800</v>
      </c>
      <c r="G8" s="22">
        <f t="shared" si="15"/>
        <v>1792.0000000000002</v>
      </c>
      <c r="H8" s="22">
        <f t="shared" si="15"/>
        <v>200</v>
      </c>
      <c r="I8" s="22">
        <f t="shared" si="15"/>
        <v>2800</v>
      </c>
      <c r="J8" s="22">
        <f t="shared" si="15"/>
        <v>1792.0000000000002</v>
      </c>
      <c r="K8" s="22">
        <f t="shared" si="15"/>
        <v>200</v>
      </c>
      <c r="L8" s="22">
        <f t="shared" si="15"/>
        <v>2800</v>
      </c>
      <c r="M8" s="22">
        <f t="shared" si="15"/>
        <v>1792.0000000000002</v>
      </c>
      <c r="N8" s="22">
        <f t="shared" si="15"/>
        <v>0</v>
      </c>
      <c r="O8" s="22">
        <f t="shared" si="15"/>
        <v>0</v>
      </c>
      <c r="P8" s="22">
        <f t="shared" si="15"/>
        <v>0</v>
      </c>
      <c r="Q8" s="22">
        <f t="shared" si="15"/>
        <v>200</v>
      </c>
      <c r="R8" s="22">
        <f t="shared" si="15"/>
        <v>2800</v>
      </c>
      <c r="S8" s="22">
        <f t="shared" si="15"/>
        <v>1792</v>
      </c>
      <c r="T8" s="22">
        <f t="shared" si="15"/>
        <v>200</v>
      </c>
      <c r="U8" s="22">
        <f t="shared" si="15"/>
        <v>2800</v>
      </c>
      <c r="V8" s="22">
        <f t="shared" si="15"/>
        <v>1792</v>
      </c>
      <c r="W8" s="22">
        <f t="shared" si="15"/>
        <v>200</v>
      </c>
      <c r="X8" s="22">
        <f t="shared" si="15"/>
        <v>2800</v>
      </c>
      <c r="Y8" s="22">
        <f t="shared" si="15"/>
        <v>1792</v>
      </c>
      <c r="Z8" s="22">
        <f t="shared" si="15"/>
        <v>200</v>
      </c>
      <c r="AA8" s="22">
        <f t="shared" si="15"/>
        <v>2800</v>
      </c>
      <c r="AB8" s="22">
        <f t="shared" si="15"/>
        <v>1792</v>
      </c>
      <c r="AC8" s="22">
        <f t="shared" si="15"/>
        <v>200</v>
      </c>
      <c r="AD8" s="22">
        <f t="shared" si="15"/>
        <v>2800</v>
      </c>
      <c r="AE8" s="22">
        <f t="shared" si="15"/>
        <v>1792</v>
      </c>
      <c r="AF8" s="22">
        <f t="shared" si="15"/>
        <v>200</v>
      </c>
      <c r="AG8" s="22">
        <f t="shared" si="15"/>
        <v>2800</v>
      </c>
      <c r="AH8" s="22">
        <f t="shared" si="15"/>
        <v>1792</v>
      </c>
      <c r="AI8" s="22">
        <f t="shared" si="15"/>
        <v>100</v>
      </c>
      <c r="AJ8" s="22">
        <f t="shared" si="15"/>
        <v>1400</v>
      </c>
      <c r="AK8" s="22">
        <f t="shared" si="15"/>
        <v>896</v>
      </c>
      <c r="AL8" s="22">
        <f t="shared" si="15"/>
        <v>0</v>
      </c>
      <c r="AM8" s="22">
        <f t="shared" si="15"/>
        <v>0</v>
      </c>
      <c r="AN8" s="22">
        <f t="shared" si="15"/>
        <v>0</v>
      </c>
      <c r="AO8" s="22">
        <f t="shared" si="15"/>
        <v>1900</v>
      </c>
      <c r="AP8" s="22">
        <f t="shared" si="15"/>
        <v>26600</v>
      </c>
      <c r="AQ8" s="22">
        <f t="shared" si="15"/>
        <v>17024</v>
      </c>
    </row>
    <row r="9" spans="1:43" x14ac:dyDescent="0.5">
      <c r="A9" s="39"/>
      <c r="B9" s="30"/>
      <c r="C9" s="30"/>
      <c r="D9" s="30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5">
      <c r="A10" s="39">
        <v>1</v>
      </c>
      <c r="B10" s="30" t="s">
        <v>6</v>
      </c>
      <c r="C10" s="1">
        <v>0.7</v>
      </c>
      <c r="D10" s="1" t="s">
        <v>96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>
        <f>120/12</f>
        <v>10</v>
      </c>
      <c r="AM10" s="29">
        <v>120</v>
      </c>
      <c r="AN10" s="29">
        <f>AM10*C10</f>
        <v>84</v>
      </c>
      <c r="AO10" s="29"/>
      <c r="AP10" s="29"/>
      <c r="AQ10" s="29"/>
    </row>
    <row r="11" spans="1:43" x14ac:dyDescent="0.5">
      <c r="A11" s="39">
        <v>2</v>
      </c>
      <c r="B11" s="30" t="s">
        <v>5</v>
      </c>
      <c r="C11" s="1">
        <v>0.35</v>
      </c>
      <c r="D11" s="1" t="s">
        <v>98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>
        <v>1</v>
      </c>
      <c r="AM11" s="29">
        <v>24</v>
      </c>
      <c r="AN11" s="29">
        <f t="shared" ref="AN11:AN18" si="16">AM11*C11</f>
        <v>8.3999999999999986</v>
      </c>
      <c r="AO11" s="29"/>
      <c r="AP11" s="29"/>
      <c r="AQ11" s="29"/>
    </row>
    <row r="12" spans="1:43" x14ac:dyDescent="0.5">
      <c r="A12" s="39">
        <v>3</v>
      </c>
      <c r="B12" s="30" t="s">
        <v>4</v>
      </c>
      <c r="C12" s="1">
        <v>0.17499999999999999</v>
      </c>
      <c r="D12" s="1" t="s">
        <v>100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>
        <f t="shared" si="16"/>
        <v>0</v>
      </c>
      <c r="AO12" s="29"/>
      <c r="AP12" s="29"/>
      <c r="AQ12" s="29"/>
    </row>
    <row r="13" spans="1:43" x14ac:dyDescent="0.5">
      <c r="A13" s="39">
        <v>4</v>
      </c>
      <c r="B13" s="30" t="s">
        <v>3</v>
      </c>
      <c r="C13" s="1">
        <v>0.7</v>
      </c>
      <c r="D13" s="1" t="s">
        <v>96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>
        <f t="shared" si="16"/>
        <v>0</v>
      </c>
      <c r="AO13" s="29"/>
      <c r="AP13" s="29"/>
      <c r="AQ13" s="29"/>
    </row>
    <row r="14" spans="1:43" x14ac:dyDescent="0.5">
      <c r="A14" s="39">
        <v>5</v>
      </c>
      <c r="B14" s="30" t="s">
        <v>2</v>
      </c>
      <c r="C14" s="1">
        <v>0.35</v>
      </c>
      <c r="D14" s="1" t="s">
        <v>98</v>
      </c>
      <c r="E14" s="29"/>
      <c r="F14" s="29"/>
      <c r="G14" s="29">
        <f>F14*C14</f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>
        <f>120/24</f>
        <v>5</v>
      </c>
      <c r="AM14" s="29">
        <v>120</v>
      </c>
      <c r="AN14" s="29">
        <f t="shared" si="16"/>
        <v>42</v>
      </c>
      <c r="AO14" s="29"/>
      <c r="AP14" s="29"/>
      <c r="AQ14" s="29"/>
    </row>
    <row r="15" spans="1:43" x14ac:dyDescent="0.5">
      <c r="A15" s="39">
        <v>6</v>
      </c>
      <c r="B15" s="30" t="s">
        <v>1</v>
      </c>
      <c r="C15" s="1">
        <v>0.17499999999999999</v>
      </c>
      <c r="D15" s="1" t="s">
        <v>100</v>
      </c>
      <c r="E15" s="29"/>
      <c r="F15" s="29"/>
      <c r="G15" s="29">
        <f t="shared" ref="G15:G17" si="17">F15*C15</f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>
        <f>144/48</f>
        <v>3</v>
      </c>
      <c r="AM15" s="29">
        <v>144</v>
      </c>
      <c r="AN15" s="29">
        <f t="shared" si="16"/>
        <v>25.2</v>
      </c>
      <c r="AO15" s="29"/>
      <c r="AP15" s="29"/>
      <c r="AQ15" s="29"/>
    </row>
    <row r="16" spans="1:43" x14ac:dyDescent="0.5">
      <c r="A16" s="39">
        <v>7</v>
      </c>
      <c r="B16" s="30" t="s">
        <v>0</v>
      </c>
      <c r="C16" s="1">
        <v>0.7</v>
      </c>
      <c r="D16" s="1" t="s">
        <v>96</v>
      </c>
      <c r="E16" s="29"/>
      <c r="F16" s="29"/>
      <c r="G16" s="29">
        <f t="shared" si="17"/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>
        <f t="shared" si="16"/>
        <v>0</v>
      </c>
      <c r="AO16" s="29"/>
      <c r="AP16" s="29"/>
      <c r="AQ16" s="29"/>
    </row>
    <row r="17" spans="1:43" x14ac:dyDescent="0.5">
      <c r="A17" s="39">
        <v>8</v>
      </c>
      <c r="B17" s="30" t="s">
        <v>8</v>
      </c>
      <c r="C17" s="1">
        <v>0.7</v>
      </c>
      <c r="D17" s="1" t="s">
        <v>96</v>
      </c>
      <c r="E17" s="29"/>
      <c r="F17" s="29"/>
      <c r="G17" s="29">
        <f t="shared" si="17"/>
        <v>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>
        <f t="shared" si="16"/>
        <v>0</v>
      </c>
      <c r="AO17" s="29"/>
      <c r="AP17" s="29"/>
      <c r="AQ17" s="29"/>
    </row>
    <row r="18" spans="1:43" x14ac:dyDescent="0.5">
      <c r="A18" s="39">
        <v>9</v>
      </c>
      <c r="B18" s="30" t="s">
        <v>7</v>
      </c>
      <c r="C18" s="1">
        <v>0.35</v>
      </c>
      <c r="D18" s="1" t="s">
        <v>98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>
        <f t="shared" si="16"/>
        <v>0</v>
      </c>
      <c r="AO18" s="29"/>
      <c r="AP18" s="29"/>
      <c r="AQ18" s="29"/>
    </row>
    <row r="19" spans="1:43" x14ac:dyDescent="0.5">
      <c r="A19" s="46"/>
      <c r="B19" s="239" t="s">
        <v>10</v>
      </c>
      <c r="C19" s="240"/>
      <c r="D19" s="241"/>
      <c r="E19" s="22">
        <f t="shared" ref="E19:F19" si="18">SUM(E10:E18)</f>
        <v>0</v>
      </c>
      <c r="F19" s="22">
        <f t="shared" si="18"/>
        <v>0</v>
      </c>
      <c r="G19" s="22">
        <f>SUM(G10:G18)</f>
        <v>0</v>
      </c>
      <c r="H19" s="22">
        <f t="shared" ref="H19:AN19" si="19">SUM(H10:H18)</f>
        <v>0</v>
      </c>
      <c r="I19" s="22">
        <f t="shared" si="19"/>
        <v>0</v>
      </c>
      <c r="J19" s="22">
        <f t="shared" si="19"/>
        <v>0</v>
      </c>
      <c r="K19" s="22">
        <f t="shared" si="19"/>
        <v>0</v>
      </c>
      <c r="L19" s="22">
        <f t="shared" si="19"/>
        <v>0</v>
      </c>
      <c r="M19" s="22">
        <f t="shared" si="19"/>
        <v>0</v>
      </c>
      <c r="N19" s="22">
        <f t="shared" si="19"/>
        <v>0</v>
      </c>
      <c r="O19" s="22">
        <f t="shared" si="19"/>
        <v>0</v>
      </c>
      <c r="P19" s="22">
        <f t="shared" si="19"/>
        <v>0</v>
      </c>
      <c r="Q19" s="22">
        <f t="shared" si="19"/>
        <v>0</v>
      </c>
      <c r="R19" s="22">
        <f t="shared" si="19"/>
        <v>0</v>
      </c>
      <c r="S19" s="22">
        <f t="shared" si="19"/>
        <v>0</v>
      </c>
      <c r="T19" s="22">
        <f t="shared" si="19"/>
        <v>0</v>
      </c>
      <c r="U19" s="22">
        <f t="shared" si="19"/>
        <v>0</v>
      </c>
      <c r="V19" s="22">
        <f t="shared" si="19"/>
        <v>0</v>
      </c>
      <c r="W19" s="22">
        <f t="shared" si="19"/>
        <v>0</v>
      </c>
      <c r="X19" s="22">
        <f t="shared" si="19"/>
        <v>0</v>
      </c>
      <c r="Y19" s="22">
        <f t="shared" si="19"/>
        <v>0</v>
      </c>
      <c r="Z19" s="22">
        <f t="shared" si="19"/>
        <v>0</v>
      </c>
      <c r="AA19" s="22">
        <f t="shared" si="19"/>
        <v>0</v>
      </c>
      <c r="AB19" s="22">
        <f t="shared" si="19"/>
        <v>0</v>
      </c>
      <c r="AC19" s="22">
        <f t="shared" si="19"/>
        <v>0</v>
      </c>
      <c r="AD19" s="22">
        <f t="shared" si="19"/>
        <v>0</v>
      </c>
      <c r="AE19" s="22">
        <f t="shared" si="19"/>
        <v>0</v>
      </c>
      <c r="AF19" s="22">
        <f t="shared" si="19"/>
        <v>0</v>
      </c>
      <c r="AG19" s="22">
        <f t="shared" si="19"/>
        <v>0</v>
      </c>
      <c r="AH19" s="22">
        <f t="shared" si="19"/>
        <v>0</v>
      </c>
      <c r="AI19" s="22">
        <f t="shared" si="19"/>
        <v>0</v>
      </c>
      <c r="AJ19" s="22">
        <f t="shared" si="19"/>
        <v>0</v>
      </c>
      <c r="AK19" s="22">
        <f t="shared" si="19"/>
        <v>0</v>
      </c>
      <c r="AL19" s="22">
        <f t="shared" si="19"/>
        <v>19</v>
      </c>
      <c r="AM19" s="22">
        <f t="shared" si="19"/>
        <v>408</v>
      </c>
      <c r="AN19" s="22">
        <f t="shared" si="19"/>
        <v>159.6</v>
      </c>
      <c r="AO19" s="22">
        <f t="shared" ref="AO19:AQ19" si="20">SUM(AO10:AO18)</f>
        <v>0</v>
      </c>
      <c r="AP19" s="22">
        <f t="shared" si="20"/>
        <v>0</v>
      </c>
      <c r="AQ19" s="22">
        <f t="shared" si="20"/>
        <v>0</v>
      </c>
    </row>
    <row r="20" spans="1:43" x14ac:dyDescent="0.5">
      <c r="A20" s="45"/>
      <c r="B20" s="242" t="s">
        <v>49</v>
      </c>
      <c r="C20" s="243"/>
      <c r="D20" s="244"/>
      <c r="E20" s="38">
        <f t="shared" ref="E20:F20" si="21">E8+E19</f>
        <v>200</v>
      </c>
      <c r="F20" s="38">
        <f t="shared" si="21"/>
        <v>2800</v>
      </c>
      <c r="G20" s="38">
        <f>G8+G19</f>
        <v>1792.0000000000002</v>
      </c>
      <c r="H20" s="38">
        <f t="shared" ref="H20" si="22">H8+H19</f>
        <v>200</v>
      </c>
      <c r="I20" s="38"/>
      <c r="J20" s="37">
        <f t="shared" ref="J20:K20" si="23">J8+J19</f>
        <v>1792.0000000000002</v>
      </c>
      <c r="K20" s="38">
        <f t="shared" si="23"/>
        <v>200</v>
      </c>
      <c r="L20" s="38">
        <f>L8+L19</f>
        <v>2800</v>
      </c>
      <c r="M20" s="94">
        <f t="shared" ref="M20:T20" si="24">M8+M19</f>
        <v>1792.0000000000002</v>
      </c>
      <c r="N20" s="38">
        <f t="shared" si="24"/>
        <v>0</v>
      </c>
      <c r="O20" s="38">
        <f t="shared" si="24"/>
        <v>0</v>
      </c>
      <c r="P20" s="38">
        <f t="shared" si="24"/>
        <v>0</v>
      </c>
      <c r="Q20" s="38">
        <f t="shared" si="24"/>
        <v>200</v>
      </c>
      <c r="R20" s="38">
        <f t="shared" si="24"/>
        <v>2800</v>
      </c>
      <c r="S20" s="37">
        <f t="shared" si="24"/>
        <v>1792</v>
      </c>
      <c r="T20" s="38">
        <f t="shared" si="24"/>
        <v>200</v>
      </c>
      <c r="U20" s="38"/>
      <c r="V20" s="37">
        <f t="shared" ref="V20:W20" si="25">V8+V19</f>
        <v>1792</v>
      </c>
      <c r="W20" s="38">
        <f t="shared" si="25"/>
        <v>200</v>
      </c>
      <c r="X20" s="38"/>
      <c r="Y20" s="37">
        <f t="shared" ref="Y20:Z20" si="26">Y8+Y19</f>
        <v>1792</v>
      </c>
      <c r="Z20" s="38">
        <f t="shared" si="26"/>
        <v>200</v>
      </c>
      <c r="AA20" s="38"/>
      <c r="AB20" s="37">
        <f t="shared" ref="AB20:AC20" si="27">AB8+AB19</f>
        <v>1792</v>
      </c>
      <c r="AC20" s="38">
        <f t="shared" si="27"/>
        <v>200</v>
      </c>
      <c r="AD20" s="38"/>
      <c r="AE20" s="37">
        <f t="shared" ref="AE20:AF20" si="28">AE8+AE19</f>
        <v>1792</v>
      </c>
      <c r="AF20" s="38">
        <f t="shared" si="28"/>
        <v>200</v>
      </c>
      <c r="AG20" s="38"/>
      <c r="AH20" s="37">
        <f t="shared" ref="AH20:AI20" si="29">AH8+AH19</f>
        <v>1792</v>
      </c>
      <c r="AI20" s="38">
        <f t="shared" si="29"/>
        <v>100</v>
      </c>
      <c r="AJ20" s="38"/>
      <c r="AK20" s="37">
        <f t="shared" ref="AK20:AL20" si="30">AK8+AK19</f>
        <v>896</v>
      </c>
      <c r="AL20" s="38">
        <f t="shared" si="30"/>
        <v>19</v>
      </c>
      <c r="AM20" s="38"/>
      <c r="AN20" s="37">
        <f t="shared" ref="AN20:AO20" si="31">AN8+AN19</f>
        <v>159.6</v>
      </c>
      <c r="AO20" s="38">
        <f t="shared" si="31"/>
        <v>1900</v>
      </c>
      <c r="AP20" s="38"/>
      <c r="AQ20" s="37">
        <f t="shared" ref="AQ20" si="32">AQ8+AQ19</f>
        <v>17024</v>
      </c>
    </row>
    <row r="25" spans="1:43" ht="25.15" customHeight="1" x14ac:dyDescent="0.5">
      <c r="B25" s="41" t="s">
        <v>107</v>
      </c>
    </row>
    <row r="26" spans="1:43" ht="15" customHeight="1" x14ac:dyDescent="0.5"/>
    <row r="27" spans="1:43" ht="42.75" customHeight="1" x14ac:dyDescent="0.5">
      <c r="A27" s="245" t="s">
        <v>52</v>
      </c>
      <c r="B27" s="245" t="s">
        <v>51</v>
      </c>
      <c r="C27" s="247" t="s">
        <v>117</v>
      </c>
      <c r="D27" s="247" t="s">
        <v>95</v>
      </c>
      <c r="E27" s="236" t="s">
        <v>19</v>
      </c>
      <c r="F27" s="237"/>
      <c r="G27" s="238"/>
      <c r="H27" s="236" t="s">
        <v>58</v>
      </c>
      <c r="I27" s="237"/>
      <c r="J27" s="238"/>
      <c r="K27" s="236" t="s">
        <v>59</v>
      </c>
      <c r="L27" s="237"/>
      <c r="M27" s="238"/>
      <c r="N27" s="236" t="s">
        <v>60</v>
      </c>
      <c r="O27" s="237"/>
      <c r="P27" s="238"/>
      <c r="Q27" s="236" t="s">
        <v>61</v>
      </c>
      <c r="R27" s="237"/>
      <c r="S27" s="238"/>
      <c r="T27" s="236" t="s">
        <v>62</v>
      </c>
      <c r="U27" s="237"/>
      <c r="V27" s="238"/>
      <c r="W27" s="236" t="s">
        <v>63</v>
      </c>
      <c r="X27" s="237"/>
      <c r="Y27" s="238"/>
      <c r="Z27" s="236" t="s">
        <v>64</v>
      </c>
      <c r="AA27" s="237"/>
      <c r="AB27" s="238"/>
      <c r="AC27" s="236" t="s">
        <v>65</v>
      </c>
      <c r="AD27" s="237"/>
      <c r="AE27" s="238"/>
      <c r="AF27" s="236" t="s">
        <v>18</v>
      </c>
      <c r="AG27" s="237"/>
      <c r="AH27" s="238"/>
      <c r="AI27" s="236" t="s">
        <v>17</v>
      </c>
      <c r="AJ27" s="237"/>
      <c r="AK27" s="238"/>
      <c r="AL27" s="236" t="s">
        <v>16</v>
      </c>
      <c r="AM27" s="237"/>
      <c r="AN27" s="238"/>
      <c r="AO27" s="236" t="s">
        <v>139</v>
      </c>
      <c r="AP27" s="237"/>
      <c r="AQ27" s="238"/>
    </row>
    <row r="28" spans="1:43" ht="25.15" customHeight="1" x14ac:dyDescent="0.5">
      <c r="A28" s="246"/>
      <c r="B28" s="246"/>
      <c r="C28" s="248"/>
      <c r="D28" s="248"/>
      <c r="E28" s="40" t="s">
        <v>50</v>
      </c>
      <c r="F28" s="40" t="s">
        <v>56</v>
      </c>
      <c r="G28" s="40" t="s">
        <v>93</v>
      </c>
      <c r="H28" s="40" t="s">
        <v>50</v>
      </c>
      <c r="I28" s="40" t="s">
        <v>56</v>
      </c>
      <c r="J28" s="40" t="s">
        <v>57</v>
      </c>
      <c r="K28" s="40" t="s">
        <v>50</v>
      </c>
      <c r="L28" s="40" t="s">
        <v>56</v>
      </c>
      <c r="M28" s="40" t="s">
        <v>57</v>
      </c>
      <c r="N28" s="40" t="s">
        <v>50</v>
      </c>
      <c r="O28" s="40" t="s">
        <v>56</v>
      </c>
      <c r="P28" s="40" t="s">
        <v>57</v>
      </c>
      <c r="Q28" s="40" t="s">
        <v>50</v>
      </c>
      <c r="R28" s="40" t="s">
        <v>56</v>
      </c>
      <c r="S28" s="40" t="s">
        <v>57</v>
      </c>
      <c r="T28" s="40" t="s">
        <v>50</v>
      </c>
      <c r="U28" s="40" t="s">
        <v>56</v>
      </c>
      <c r="V28" s="40" t="s">
        <v>57</v>
      </c>
      <c r="W28" s="40" t="s">
        <v>50</v>
      </c>
      <c r="X28" s="40" t="s">
        <v>56</v>
      </c>
      <c r="Y28" s="40" t="s">
        <v>57</v>
      </c>
      <c r="Z28" s="40" t="s">
        <v>50</v>
      </c>
      <c r="AA28" s="40" t="s">
        <v>56</v>
      </c>
      <c r="AB28" s="40" t="s">
        <v>57</v>
      </c>
      <c r="AC28" s="40" t="s">
        <v>50</v>
      </c>
      <c r="AD28" s="40" t="s">
        <v>56</v>
      </c>
      <c r="AE28" s="40" t="s">
        <v>57</v>
      </c>
      <c r="AF28" s="40" t="s">
        <v>50</v>
      </c>
      <c r="AG28" s="40" t="s">
        <v>56</v>
      </c>
      <c r="AH28" s="40" t="s">
        <v>57</v>
      </c>
      <c r="AI28" s="40" t="s">
        <v>50</v>
      </c>
      <c r="AJ28" s="40" t="s">
        <v>56</v>
      </c>
      <c r="AK28" s="40" t="s">
        <v>57</v>
      </c>
      <c r="AL28" s="40" t="s">
        <v>50</v>
      </c>
      <c r="AM28" s="40" t="s">
        <v>56</v>
      </c>
      <c r="AN28" s="40" t="s">
        <v>57</v>
      </c>
      <c r="AO28" s="40" t="s">
        <v>50</v>
      </c>
      <c r="AP28" s="40" t="s">
        <v>56</v>
      </c>
      <c r="AQ28" s="40" t="s">
        <v>57</v>
      </c>
    </row>
    <row r="29" spans="1:43" s="43" customFormat="1" ht="25.15" hidden="1" customHeight="1" x14ac:dyDescent="0.5">
      <c r="A29" s="29">
        <v>1</v>
      </c>
      <c r="B29" s="1" t="s">
        <v>67</v>
      </c>
      <c r="C29" s="34">
        <v>0.7</v>
      </c>
      <c r="D29" s="34" t="s">
        <v>96</v>
      </c>
      <c r="E29" s="29"/>
      <c r="F29" s="29"/>
      <c r="G29" s="29">
        <f>F29*C29</f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s="43" customFormat="1" ht="25.15" hidden="1" customHeight="1" x14ac:dyDescent="0.5">
      <c r="A30" s="29">
        <v>2</v>
      </c>
      <c r="B30" s="1"/>
      <c r="C30" s="34"/>
      <c r="D30" s="34"/>
      <c r="E30" s="29"/>
      <c r="F30" s="29"/>
      <c r="G30" s="29">
        <f t="shared" ref="G30:G63" si="33">F30*C30</f>
        <v>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ht="25.15" hidden="1" customHeight="1" x14ac:dyDescent="0.5">
      <c r="A31" s="29">
        <v>3</v>
      </c>
      <c r="B31" s="1" t="s">
        <v>68</v>
      </c>
      <c r="C31" s="30">
        <v>1</v>
      </c>
      <c r="D31" s="30" t="s">
        <v>96</v>
      </c>
      <c r="E31" s="28"/>
      <c r="F31" s="28"/>
      <c r="G31" s="29">
        <f t="shared" si="33"/>
        <v>0</v>
      </c>
      <c r="H31" s="28"/>
      <c r="I31" s="28"/>
      <c r="J31" s="29"/>
      <c r="K31" s="28"/>
      <c r="L31" s="28"/>
      <c r="M31" s="29"/>
      <c r="N31" s="28"/>
      <c r="O31" s="28"/>
      <c r="P31" s="29"/>
      <c r="Q31" s="28"/>
      <c r="R31" s="28"/>
      <c r="S31" s="29"/>
      <c r="T31" s="28"/>
      <c r="U31" s="28"/>
      <c r="V31" s="29"/>
      <c r="W31" s="28"/>
      <c r="X31" s="28"/>
      <c r="Y31" s="29"/>
      <c r="Z31" s="28"/>
      <c r="AA31" s="28"/>
      <c r="AB31" s="29"/>
      <c r="AC31" s="28"/>
      <c r="AD31" s="28"/>
      <c r="AE31" s="29"/>
      <c r="AF31" s="28"/>
      <c r="AG31" s="28"/>
      <c r="AH31" s="29"/>
      <c r="AI31" s="28"/>
      <c r="AJ31" s="28"/>
      <c r="AK31" s="29"/>
      <c r="AL31" s="28"/>
      <c r="AM31" s="28"/>
      <c r="AN31" s="29"/>
      <c r="AO31" s="28"/>
      <c r="AP31" s="28"/>
      <c r="AQ31" s="29"/>
    </row>
    <row r="32" spans="1:43" ht="25.15" hidden="1" customHeight="1" x14ac:dyDescent="0.5">
      <c r="A32" s="28">
        <v>4</v>
      </c>
      <c r="B32" s="1" t="s">
        <v>69</v>
      </c>
      <c r="C32" s="30">
        <v>1</v>
      </c>
      <c r="D32" s="30" t="s">
        <v>96</v>
      </c>
      <c r="E32" s="28"/>
      <c r="F32" s="28"/>
      <c r="G32" s="29">
        <f t="shared" si="33"/>
        <v>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ht="25.15" hidden="1" customHeight="1" x14ac:dyDescent="0.5">
      <c r="A33" s="28">
        <v>5</v>
      </c>
      <c r="B33" s="1" t="s">
        <v>70</v>
      </c>
      <c r="C33" s="30"/>
      <c r="D33" s="30"/>
      <c r="E33" s="28"/>
      <c r="F33" s="28"/>
      <c r="G33" s="29">
        <f t="shared" si="33"/>
        <v>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</row>
    <row r="34" spans="1:43" ht="25.15" hidden="1" customHeight="1" x14ac:dyDescent="0.5">
      <c r="A34" s="28">
        <v>6</v>
      </c>
      <c r="B34" s="1" t="s">
        <v>71</v>
      </c>
      <c r="C34" s="30">
        <v>0.35</v>
      </c>
      <c r="D34" s="30" t="s">
        <v>97</v>
      </c>
      <c r="E34" s="28"/>
      <c r="F34" s="28"/>
      <c r="G34" s="29">
        <f t="shared" si="33"/>
        <v>0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</row>
    <row r="35" spans="1:43" ht="25.15" hidden="1" customHeight="1" x14ac:dyDescent="0.5">
      <c r="A35" s="28">
        <v>7</v>
      </c>
      <c r="B35" s="1" t="s">
        <v>72</v>
      </c>
      <c r="C35" s="30"/>
      <c r="D35" s="30"/>
      <c r="E35" s="28"/>
      <c r="F35" s="28"/>
      <c r="G35" s="29">
        <f t="shared" si="33"/>
        <v>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</row>
    <row r="36" spans="1:43" ht="25.15" hidden="1" customHeight="1" x14ac:dyDescent="0.5">
      <c r="A36" s="28">
        <v>8</v>
      </c>
      <c r="B36" s="1" t="s">
        <v>73</v>
      </c>
      <c r="C36" s="30">
        <v>0.64</v>
      </c>
      <c r="D36" s="30" t="s">
        <v>99</v>
      </c>
      <c r="E36" s="28"/>
      <c r="F36" s="28"/>
      <c r="G36" s="29">
        <f t="shared" si="33"/>
        <v>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</row>
    <row r="37" spans="1:43" ht="25.15" hidden="1" customHeight="1" x14ac:dyDescent="0.5">
      <c r="A37" s="28">
        <v>9</v>
      </c>
      <c r="B37" s="1" t="s">
        <v>73</v>
      </c>
      <c r="C37" s="30"/>
      <c r="D37" s="30"/>
      <c r="E37" s="28"/>
      <c r="F37" s="28"/>
      <c r="G37" s="29">
        <f t="shared" si="33"/>
        <v>0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</row>
    <row r="38" spans="1:43" ht="25.15" hidden="1" customHeight="1" x14ac:dyDescent="0.5">
      <c r="A38" s="28">
        <v>10</v>
      </c>
      <c r="B38" s="1" t="s">
        <v>73</v>
      </c>
      <c r="C38" s="30"/>
      <c r="D38" s="30"/>
      <c r="E38" s="28"/>
      <c r="F38" s="28"/>
      <c r="G38" s="29">
        <f t="shared" si="33"/>
        <v>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</row>
    <row r="39" spans="1:43" ht="25.15" hidden="1" customHeight="1" x14ac:dyDescent="0.5">
      <c r="A39" s="28">
        <v>11</v>
      </c>
      <c r="B39" s="1"/>
      <c r="C39" s="30"/>
      <c r="D39" s="30"/>
      <c r="E39" s="28"/>
      <c r="F39" s="28"/>
      <c r="G39" s="29">
        <f t="shared" si="33"/>
        <v>0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</row>
    <row r="40" spans="1:43" ht="25.15" hidden="1" customHeight="1" x14ac:dyDescent="0.5">
      <c r="A40" s="28">
        <v>12</v>
      </c>
      <c r="B40" s="1" t="s">
        <v>74</v>
      </c>
      <c r="C40" s="30">
        <v>1</v>
      </c>
      <c r="D40" s="30" t="s">
        <v>96</v>
      </c>
      <c r="E40" s="28"/>
      <c r="F40" s="28"/>
      <c r="G40" s="29">
        <f t="shared" si="33"/>
        <v>0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</row>
    <row r="41" spans="1:43" ht="25.15" hidden="1" customHeight="1" x14ac:dyDescent="0.5">
      <c r="A41" s="28">
        <v>13</v>
      </c>
      <c r="B41" s="1" t="s">
        <v>75</v>
      </c>
      <c r="C41" s="30"/>
      <c r="D41" s="30"/>
      <c r="E41" s="28"/>
      <c r="F41" s="28"/>
      <c r="G41" s="29">
        <f t="shared" si="33"/>
        <v>0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ht="25.15" hidden="1" customHeight="1" x14ac:dyDescent="0.5">
      <c r="A42" s="28">
        <v>14</v>
      </c>
      <c r="B42" s="1" t="s">
        <v>76</v>
      </c>
      <c r="C42" s="30"/>
      <c r="D42" s="30"/>
      <c r="E42" s="28"/>
      <c r="F42" s="28"/>
      <c r="G42" s="29">
        <f t="shared" si="33"/>
        <v>0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s="43" customFormat="1" ht="25.15" hidden="1" customHeight="1" x14ac:dyDescent="0.5">
      <c r="A43" s="28">
        <v>15</v>
      </c>
      <c r="B43" s="1" t="s">
        <v>77</v>
      </c>
      <c r="C43" s="34"/>
      <c r="D43" s="34"/>
      <c r="E43" s="29"/>
      <c r="F43" s="29"/>
      <c r="G43" s="29">
        <f t="shared" si="33"/>
        <v>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ht="25.15" hidden="1" customHeight="1" x14ac:dyDescent="0.5">
      <c r="A44" s="28">
        <v>16</v>
      </c>
      <c r="B44" s="1" t="s">
        <v>78</v>
      </c>
      <c r="C44" s="30"/>
      <c r="D44" s="30"/>
      <c r="E44" s="28"/>
      <c r="F44" s="28"/>
      <c r="G44" s="29">
        <f t="shared" si="33"/>
        <v>0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5.15" hidden="1" customHeight="1" x14ac:dyDescent="0.5">
      <c r="A45" s="28">
        <v>17</v>
      </c>
      <c r="B45" s="1" t="s">
        <v>79</v>
      </c>
      <c r="C45" s="30"/>
      <c r="D45" s="30"/>
      <c r="E45" s="28"/>
      <c r="F45" s="28"/>
      <c r="G45" s="29">
        <f t="shared" si="33"/>
        <v>0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5.15" hidden="1" customHeight="1" x14ac:dyDescent="0.5">
      <c r="A46" s="28">
        <v>18</v>
      </c>
      <c r="B46" s="1" t="s">
        <v>80</v>
      </c>
      <c r="C46" s="30"/>
      <c r="D46" s="30"/>
      <c r="E46" s="28"/>
      <c r="F46" s="28"/>
      <c r="G46" s="29">
        <f t="shared" si="33"/>
        <v>0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ht="24" hidden="1" customHeight="1" x14ac:dyDescent="0.5">
      <c r="A47" s="28">
        <v>19</v>
      </c>
      <c r="B47" s="1" t="s">
        <v>81</v>
      </c>
      <c r="C47" s="30"/>
      <c r="D47" s="30"/>
      <c r="E47" s="28"/>
      <c r="F47" s="28"/>
      <c r="G47" s="29">
        <f t="shared" si="33"/>
        <v>0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</row>
    <row r="48" spans="1:43" ht="24" hidden="1" customHeight="1" x14ac:dyDescent="0.5">
      <c r="A48" s="28">
        <v>20</v>
      </c>
      <c r="B48" s="1" t="s">
        <v>82</v>
      </c>
      <c r="C48" s="30"/>
      <c r="D48" s="30"/>
      <c r="E48" s="28"/>
      <c r="F48" s="28"/>
      <c r="G48" s="29">
        <f t="shared" si="33"/>
        <v>0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4" hidden="1" customHeight="1" x14ac:dyDescent="0.5">
      <c r="A49" s="28">
        <v>21</v>
      </c>
      <c r="B49" s="1" t="s">
        <v>83</v>
      </c>
      <c r="C49" s="30">
        <v>1</v>
      </c>
      <c r="D49" s="30" t="s">
        <v>96</v>
      </c>
      <c r="E49" s="28"/>
      <c r="F49" s="28"/>
      <c r="G49" s="29">
        <f t="shared" si="33"/>
        <v>0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</row>
    <row r="50" spans="1:43" ht="24" hidden="1" customHeight="1" x14ac:dyDescent="0.5">
      <c r="A50" s="28">
        <v>22</v>
      </c>
      <c r="B50" s="1" t="s">
        <v>84</v>
      </c>
      <c r="C50" s="30"/>
      <c r="D50" s="30"/>
      <c r="E50" s="28"/>
      <c r="F50" s="28"/>
      <c r="G50" s="29">
        <f t="shared" si="33"/>
        <v>0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</row>
    <row r="51" spans="1:43" ht="24" hidden="1" customHeight="1" x14ac:dyDescent="0.5">
      <c r="A51" s="28">
        <v>23</v>
      </c>
      <c r="B51" s="1" t="s">
        <v>85</v>
      </c>
      <c r="C51" s="30"/>
      <c r="D51" s="30"/>
      <c r="E51" s="28"/>
      <c r="F51" s="28"/>
      <c r="G51" s="29">
        <f t="shared" si="33"/>
        <v>0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</row>
    <row r="52" spans="1:43" ht="24" hidden="1" customHeight="1" x14ac:dyDescent="0.5">
      <c r="A52" s="28">
        <v>24</v>
      </c>
      <c r="B52" s="1" t="s">
        <v>86</v>
      </c>
      <c r="C52" s="30"/>
      <c r="D52" s="30"/>
      <c r="E52" s="28"/>
      <c r="F52" s="28"/>
      <c r="G52" s="29">
        <f t="shared" si="33"/>
        <v>0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ht="24" hidden="1" customHeight="1" x14ac:dyDescent="0.5">
      <c r="A53" s="28">
        <v>25</v>
      </c>
      <c r="B53" s="1" t="s">
        <v>87</v>
      </c>
      <c r="C53" s="30"/>
      <c r="D53" s="30"/>
      <c r="E53" s="28"/>
      <c r="F53" s="28"/>
      <c r="G53" s="29">
        <f t="shared" si="33"/>
        <v>0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</row>
    <row r="54" spans="1:43" ht="24" hidden="1" customHeight="1" x14ac:dyDescent="0.5">
      <c r="A54" s="28">
        <v>26</v>
      </c>
      <c r="B54" s="1" t="s">
        <v>88</v>
      </c>
      <c r="C54" s="30"/>
      <c r="D54" s="30"/>
      <c r="E54" s="28"/>
      <c r="F54" s="28"/>
      <c r="G54" s="29">
        <f t="shared" si="33"/>
        <v>0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ht="24" hidden="1" customHeight="1" x14ac:dyDescent="0.5">
      <c r="A55" s="28">
        <v>27</v>
      </c>
      <c r="B55" s="1" t="s">
        <v>89</v>
      </c>
      <c r="C55" s="39"/>
      <c r="D55" s="30"/>
      <c r="E55" s="28"/>
      <c r="F55" s="28"/>
      <c r="G55" s="29">
        <f t="shared" si="33"/>
        <v>0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</row>
    <row r="56" spans="1:43" ht="20.100000000000001" customHeight="1" x14ac:dyDescent="0.5">
      <c r="A56" s="28">
        <v>28</v>
      </c>
      <c r="B56" s="1" t="s">
        <v>89</v>
      </c>
      <c r="C56" s="85">
        <v>0.64</v>
      </c>
      <c r="D56" s="30" t="s">
        <v>99</v>
      </c>
      <c r="E56" s="28">
        <v>40</v>
      </c>
      <c r="F56" s="28">
        <v>560</v>
      </c>
      <c r="G56" s="29">
        <v>358.40000000000003</v>
      </c>
      <c r="H56" s="28"/>
      <c r="I56" s="28"/>
      <c r="J56" s="28"/>
      <c r="K56" s="28">
        <v>50</v>
      </c>
      <c r="L56" s="28">
        <v>700</v>
      </c>
      <c r="M56" s="93">
        <f>L56*C56</f>
        <v>448</v>
      </c>
      <c r="N56" s="28">
        <v>100</v>
      </c>
      <c r="O56" s="28">
        <v>1400</v>
      </c>
      <c r="P56" s="28">
        <f>O56*C56</f>
        <v>896</v>
      </c>
      <c r="Q56" s="28">
        <v>160</v>
      </c>
      <c r="R56" s="28">
        <v>2240</v>
      </c>
      <c r="S56" s="28">
        <f>R56*C56</f>
        <v>1433.6000000000001</v>
      </c>
      <c r="T56" s="28"/>
      <c r="U56" s="28"/>
      <c r="V56" s="28"/>
      <c r="W56" s="28">
        <v>200</v>
      </c>
      <c r="X56" s="28">
        <v>2800</v>
      </c>
      <c r="Y56" s="28">
        <f>X56*C56</f>
        <v>1792</v>
      </c>
      <c r="Z56" s="28">
        <v>150</v>
      </c>
      <c r="AA56" s="28">
        <v>2100</v>
      </c>
      <c r="AB56" s="28">
        <v>1344</v>
      </c>
      <c r="AC56" s="28"/>
      <c r="AD56" s="28"/>
      <c r="AE56" s="28"/>
      <c r="AF56" s="28">
        <v>200</v>
      </c>
      <c r="AG56" s="28">
        <v>2800</v>
      </c>
      <c r="AH56" s="28">
        <v>1792</v>
      </c>
      <c r="AI56" s="28"/>
      <c r="AJ56" s="28"/>
      <c r="AK56" s="28"/>
      <c r="AL56" s="28">
        <v>200</v>
      </c>
      <c r="AM56" s="28">
        <v>2800</v>
      </c>
      <c r="AN56" s="28">
        <v>1792</v>
      </c>
      <c r="AO56" s="28"/>
      <c r="AP56" s="28"/>
      <c r="AQ56" s="28"/>
    </row>
    <row r="57" spans="1:43" ht="20.100000000000001" customHeight="1" x14ac:dyDescent="0.5">
      <c r="A57" s="28">
        <v>29</v>
      </c>
      <c r="B57" s="1" t="s">
        <v>88</v>
      </c>
      <c r="C57" s="85">
        <v>0.64</v>
      </c>
      <c r="D57" s="30" t="s">
        <v>99</v>
      </c>
      <c r="E57" s="28"/>
      <c r="F57" s="28"/>
      <c r="G57" s="29">
        <f t="shared" si="33"/>
        <v>0</v>
      </c>
      <c r="H57" s="28"/>
      <c r="I57" s="28"/>
      <c r="J57" s="28"/>
      <c r="K57" s="28">
        <v>10</v>
      </c>
      <c r="L57" s="28">
        <v>140</v>
      </c>
      <c r="M57" s="93">
        <f t="shared" ref="M57:M66" si="34">L57*C57</f>
        <v>89.600000000000009</v>
      </c>
      <c r="N57" s="28">
        <v>20</v>
      </c>
      <c r="O57" s="28">
        <v>280</v>
      </c>
      <c r="P57" s="28">
        <f>O57*C57</f>
        <v>179.20000000000002</v>
      </c>
      <c r="Q57" s="28">
        <v>40</v>
      </c>
      <c r="R57" s="28">
        <v>560</v>
      </c>
      <c r="S57" s="28">
        <f>R57*C57</f>
        <v>358.40000000000003</v>
      </c>
      <c r="T57" s="28"/>
      <c r="U57" s="28"/>
      <c r="V57" s="28"/>
      <c r="W57" s="28"/>
      <c r="X57" s="28"/>
      <c r="Y57" s="28"/>
      <c r="Z57" s="28">
        <v>50</v>
      </c>
      <c r="AA57" s="28">
        <v>700</v>
      </c>
      <c r="AB57" s="28">
        <v>448</v>
      </c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</row>
    <row r="58" spans="1:43" ht="20.100000000000001" hidden="1" customHeight="1" x14ac:dyDescent="0.5">
      <c r="A58" s="28">
        <v>30</v>
      </c>
      <c r="B58" s="1" t="s">
        <v>88</v>
      </c>
      <c r="C58" s="30">
        <v>0.64</v>
      </c>
      <c r="D58" s="30" t="s">
        <v>98</v>
      </c>
      <c r="E58" s="28"/>
      <c r="F58" s="28"/>
      <c r="G58" s="29">
        <f t="shared" si="33"/>
        <v>0</v>
      </c>
      <c r="H58" s="28"/>
      <c r="I58" s="28"/>
      <c r="J58" s="28"/>
      <c r="K58" s="28"/>
      <c r="L58" s="28"/>
      <c r="M58" s="93">
        <f t="shared" si="34"/>
        <v>0</v>
      </c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</row>
    <row r="59" spans="1:43" ht="20.100000000000001" hidden="1" customHeight="1" x14ac:dyDescent="0.5">
      <c r="A59" s="28">
        <v>31</v>
      </c>
      <c r="B59" s="1" t="s">
        <v>9</v>
      </c>
      <c r="C59" s="30">
        <v>0.64</v>
      </c>
      <c r="D59" s="30" t="s">
        <v>99</v>
      </c>
      <c r="E59" s="28"/>
      <c r="F59" s="28"/>
      <c r="G59" s="29">
        <f t="shared" si="33"/>
        <v>0</v>
      </c>
      <c r="H59" s="28"/>
      <c r="I59" s="28"/>
      <c r="J59" s="28"/>
      <c r="K59" s="28"/>
      <c r="L59" s="28"/>
      <c r="M59" s="93">
        <f t="shared" si="34"/>
        <v>0</v>
      </c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</row>
    <row r="60" spans="1:43" ht="20.100000000000001" hidden="1" customHeight="1" x14ac:dyDescent="0.5">
      <c r="A60" s="28">
        <v>32</v>
      </c>
      <c r="B60" s="30" t="s">
        <v>90</v>
      </c>
      <c r="C60" s="30">
        <v>1</v>
      </c>
      <c r="D60" s="30" t="s">
        <v>96</v>
      </c>
      <c r="E60" s="28"/>
      <c r="F60" s="28"/>
      <c r="G60" s="29">
        <f t="shared" si="33"/>
        <v>0</v>
      </c>
      <c r="H60" s="28"/>
      <c r="I60" s="28"/>
      <c r="J60" s="28"/>
      <c r="K60" s="28"/>
      <c r="L60" s="28"/>
      <c r="M60" s="93">
        <f t="shared" si="34"/>
        <v>0</v>
      </c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</row>
    <row r="61" spans="1:43" ht="20.100000000000001" hidden="1" customHeight="1" x14ac:dyDescent="0.5">
      <c r="A61" s="28">
        <v>33</v>
      </c>
      <c r="B61" s="30" t="s">
        <v>91</v>
      </c>
      <c r="C61" s="30"/>
      <c r="D61" s="30"/>
      <c r="E61" s="28"/>
      <c r="F61" s="28"/>
      <c r="G61" s="29">
        <f t="shared" si="33"/>
        <v>0</v>
      </c>
      <c r="H61" s="28"/>
      <c r="I61" s="28"/>
      <c r="J61" s="28"/>
      <c r="K61" s="28"/>
      <c r="L61" s="28"/>
      <c r="M61" s="93">
        <f t="shared" si="34"/>
        <v>0</v>
      </c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</row>
    <row r="62" spans="1:43" ht="20.100000000000001" hidden="1" customHeight="1" x14ac:dyDescent="0.5">
      <c r="A62" s="28">
        <v>34</v>
      </c>
      <c r="B62" s="30" t="s">
        <v>91</v>
      </c>
      <c r="C62" s="30"/>
      <c r="D62" s="30"/>
      <c r="E62" s="28"/>
      <c r="F62" s="28"/>
      <c r="G62" s="29">
        <f t="shared" si="33"/>
        <v>0</v>
      </c>
      <c r="H62" s="28"/>
      <c r="I62" s="28"/>
      <c r="J62" s="28"/>
      <c r="K62" s="28"/>
      <c r="L62" s="28"/>
      <c r="M62" s="93">
        <f t="shared" si="34"/>
        <v>0</v>
      </c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</row>
    <row r="63" spans="1:43" ht="20.100000000000001" hidden="1" customHeight="1" x14ac:dyDescent="0.5">
      <c r="A63" s="28">
        <v>35</v>
      </c>
      <c r="B63" s="30" t="s">
        <v>92</v>
      </c>
      <c r="C63" s="30">
        <v>0.64</v>
      </c>
      <c r="D63" s="30" t="s">
        <v>98</v>
      </c>
      <c r="E63" s="28"/>
      <c r="F63" s="28"/>
      <c r="G63" s="29">
        <f t="shared" si="33"/>
        <v>0</v>
      </c>
      <c r="H63" s="28"/>
      <c r="I63" s="28"/>
      <c r="J63" s="28"/>
      <c r="K63" s="28"/>
      <c r="L63" s="28"/>
      <c r="M63" s="93">
        <f t="shared" si="34"/>
        <v>0</v>
      </c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</row>
    <row r="64" spans="1:43" ht="20.100000000000001" hidden="1" customHeight="1" x14ac:dyDescent="0.5">
      <c r="A64" s="28">
        <v>36</v>
      </c>
      <c r="B64" s="30"/>
      <c r="C64" s="30"/>
      <c r="D64" s="30"/>
      <c r="E64" s="28"/>
      <c r="F64" s="28"/>
      <c r="G64" s="28"/>
      <c r="H64" s="28"/>
      <c r="I64" s="28"/>
      <c r="J64" s="28"/>
      <c r="K64" s="28"/>
      <c r="L64" s="28"/>
      <c r="M64" s="93">
        <f t="shared" si="34"/>
        <v>0</v>
      </c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</row>
    <row r="65" spans="1:43" ht="20.100000000000001" hidden="1" customHeight="1" x14ac:dyDescent="0.5">
      <c r="A65" s="28">
        <v>37</v>
      </c>
      <c r="B65" s="30"/>
      <c r="C65" s="30"/>
      <c r="D65" s="30"/>
      <c r="E65" s="28"/>
      <c r="F65" s="28"/>
      <c r="G65" s="28"/>
      <c r="H65" s="28"/>
      <c r="I65" s="28"/>
      <c r="J65" s="28"/>
      <c r="K65" s="28"/>
      <c r="L65" s="28"/>
      <c r="M65" s="93">
        <f t="shared" si="34"/>
        <v>0</v>
      </c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</row>
    <row r="66" spans="1:43" ht="20.100000000000001" hidden="1" customHeight="1" x14ac:dyDescent="0.5">
      <c r="A66" s="28">
        <v>38</v>
      </c>
      <c r="B66" s="30"/>
      <c r="C66" s="30"/>
      <c r="D66" s="30"/>
      <c r="E66" s="28"/>
      <c r="F66" s="28"/>
      <c r="G66" s="28"/>
      <c r="H66" s="28"/>
      <c r="I66" s="28"/>
      <c r="J66" s="28"/>
      <c r="K66" s="28"/>
      <c r="L66" s="28"/>
      <c r="M66" s="93">
        <f t="shared" si="34"/>
        <v>0</v>
      </c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</row>
    <row r="67" spans="1:43" s="41" customFormat="1" ht="20.100000000000001" customHeight="1" x14ac:dyDescent="0.5">
      <c r="A67" s="24"/>
      <c r="B67" s="239" t="s">
        <v>10</v>
      </c>
      <c r="C67" s="240"/>
      <c r="D67" s="241"/>
      <c r="E67" s="22">
        <f>SUM(E29:E66)</f>
        <v>40</v>
      </c>
      <c r="F67" s="22">
        <f t="shared" ref="F67:AN67" si="35">SUM(F29:F66)</f>
        <v>560</v>
      </c>
      <c r="G67" s="22">
        <f>SUM(G29:G66)</f>
        <v>358.40000000000003</v>
      </c>
      <c r="H67" s="22">
        <f t="shared" si="35"/>
        <v>0</v>
      </c>
      <c r="I67" s="22">
        <f t="shared" si="35"/>
        <v>0</v>
      </c>
      <c r="J67" s="22">
        <f t="shared" si="35"/>
        <v>0</v>
      </c>
      <c r="K67" s="22">
        <f t="shared" si="35"/>
        <v>60</v>
      </c>
      <c r="L67" s="22">
        <f t="shared" si="35"/>
        <v>840</v>
      </c>
      <c r="M67" s="22">
        <f t="shared" si="35"/>
        <v>537.6</v>
      </c>
      <c r="N67" s="22">
        <f t="shared" si="35"/>
        <v>120</v>
      </c>
      <c r="O67" s="22">
        <f t="shared" si="35"/>
        <v>1680</v>
      </c>
      <c r="P67" s="22">
        <f t="shared" si="35"/>
        <v>1075.2</v>
      </c>
      <c r="Q67" s="22">
        <f t="shared" si="35"/>
        <v>200</v>
      </c>
      <c r="R67" s="22">
        <f t="shared" si="35"/>
        <v>2800</v>
      </c>
      <c r="S67" s="22">
        <f t="shared" si="35"/>
        <v>1792.0000000000002</v>
      </c>
      <c r="T67" s="22">
        <f t="shared" si="35"/>
        <v>0</v>
      </c>
      <c r="U67" s="22">
        <f t="shared" si="35"/>
        <v>0</v>
      </c>
      <c r="V67" s="22">
        <f t="shared" si="35"/>
        <v>0</v>
      </c>
      <c r="W67" s="22">
        <f t="shared" si="35"/>
        <v>200</v>
      </c>
      <c r="X67" s="22">
        <f t="shared" si="35"/>
        <v>2800</v>
      </c>
      <c r="Y67" s="22">
        <f t="shared" si="35"/>
        <v>1792</v>
      </c>
      <c r="Z67" s="22">
        <f t="shared" si="35"/>
        <v>200</v>
      </c>
      <c r="AA67" s="22">
        <f t="shared" si="35"/>
        <v>2800</v>
      </c>
      <c r="AB67" s="22">
        <f t="shared" si="35"/>
        <v>1792</v>
      </c>
      <c r="AC67" s="22">
        <f t="shared" si="35"/>
        <v>0</v>
      </c>
      <c r="AD67" s="22">
        <f t="shared" si="35"/>
        <v>0</v>
      </c>
      <c r="AE67" s="22">
        <f t="shared" si="35"/>
        <v>0</v>
      </c>
      <c r="AF67" s="22">
        <f t="shared" si="35"/>
        <v>200</v>
      </c>
      <c r="AG67" s="22">
        <f t="shared" si="35"/>
        <v>2800</v>
      </c>
      <c r="AH67" s="22">
        <f t="shared" si="35"/>
        <v>1792</v>
      </c>
      <c r="AI67" s="22">
        <f t="shared" si="35"/>
        <v>0</v>
      </c>
      <c r="AJ67" s="22">
        <f t="shared" si="35"/>
        <v>0</v>
      </c>
      <c r="AK67" s="22">
        <f t="shared" si="35"/>
        <v>0</v>
      </c>
      <c r="AL67" s="22">
        <f t="shared" si="35"/>
        <v>200</v>
      </c>
      <c r="AM67" s="22">
        <f t="shared" si="35"/>
        <v>2800</v>
      </c>
      <c r="AN67" s="22">
        <f t="shared" si="35"/>
        <v>1792</v>
      </c>
      <c r="AO67" s="22">
        <f t="shared" ref="AO67:AQ67" si="36">SUM(AO29:AO66)</f>
        <v>0</v>
      </c>
      <c r="AP67" s="22">
        <f t="shared" si="36"/>
        <v>0</v>
      </c>
      <c r="AQ67" s="22">
        <f t="shared" si="36"/>
        <v>0</v>
      </c>
    </row>
    <row r="68" spans="1:43" ht="20.100000000000001" hidden="1" customHeight="1" x14ac:dyDescent="0.5">
      <c r="A68" s="39"/>
      <c r="B68" s="30"/>
      <c r="C68" s="30"/>
      <c r="D68" s="30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</row>
    <row r="69" spans="1:43" ht="20.100000000000001" hidden="1" customHeight="1" x14ac:dyDescent="0.5">
      <c r="A69" s="39">
        <v>1</v>
      </c>
      <c r="B69" s="30" t="s">
        <v>6</v>
      </c>
      <c r="C69" s="1">
        <v>0.7</v>
      </c>
      <c r="D69" s="1" t="s">
        <v>96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</row>
    <row r="70" spans="1:43" ht="20.100000000000001" hidden="1" customHeight="1" x14ac:dyDescent="0.5">
      <c r="A70" s="39">
        <v>2</v>
      </c>
      <c r="B70" s="30" t="s">
        <v>5</v>
      </c>
      <c r="C70" s="1">
        <v>0.35</v>
      </c>
      <c r="D70" s="1" t="s">
        <v>98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</row>
    <row r="71" spans="1:43" ht="20.100000000000001" hidden="1" customHeight="1" x14ac:dyDescent="0.5">
      <c r="A71" s="39">
        <v>3</v>
      </c>
      <c r="B71" s="30" t="s">
        <v>4</v>
      </c>
      <c r="C71" s="1">
        <v>0.17499999999999999</v>
      </c>
      <c r="D71" s="1" t="s">
        <v>100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</row>
    <row r="72" spans="1:43" ht="20.100000000000001" hidden="1" customHeight="1" x14ac:dyDescent="0.5">
      <c r="A72" s="39">
        <v>4</v>
      </c>
      <c r="B72" s="30" t="s">
        <v>3</v>
      </c>
      <c r="C72" s="1">
        <v>0.7</v>
      </c>
      <c r="D72" s="1" t="s">
        <v>96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ht="20.100000000000001" hidden="1" customHeight="1" x14ac:dyDescent="0.5">
      <c r="A73" s="39">
        <v>5</v>
      </c>
      <c r="B73" s="30" t="s">
        <v>2</v>
      </c>
      <c r="C73" s="1">
        <v>0.35</v>
      </c>
      <c r="D73" s="1" t="s">
        <v>98</v>
      </c>
      <c r="E73" s="29"/>
      <c r="F73" s="29"/>
      <c r="G73" s="29">
        <f>F73*C73</f>
        <v>0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ht="20.100000000000001" hidden="1" customHeight="1" x14ac:dyDescent="0.5">
      <c r="A74" s="39">
        <v>6</v>
      </c>
      <c r="B74" s="30" t="s">
        <v>1</v>
      </c>
      <c r="C74" s="1">
        <v>0.17499999999999999</v>
      </c>
      <c r="D74" s="1" t="s">
        <v>100</v>
      </c>
      <c r="E74" s="29"/>
      <c r="F74" s="29"/>
      <c r="G74" s="29">
        <f t="shared" ref="G74:G76" si="37">F74*C74</f>
        <v>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ht="20.100000000000001" hidden="1" customHeight="1" x14ac:dyDescent="0.5">
      <c r="A75" s="39">
        <v>7</v>
      </c>
      <c r="B75" s="30" t="s">
        <v>0</v>
      </c>
      <c r="C75" s="1">
        <v>0.7</v>
      </c>
      <c r="D75" s="1" t="s">
        <v>96</v>
      </c>
      <c r="E75" s="29"/>
      <c r="F75" s="29"/>
      <c r="G75" s="29">
        <f t="shared" si="37"/>
        <v>0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ht="20.100000000000001" hidden="1" customHeight="1" x14ac:dyDescent="0.5">
      <c r="A76" s="39">
        <v>8</v>
      </c>
      <c r="B76" s="30" t="s">
        <v>8</v>
      </c>
      <c r="C76" s="1">
        <v>0.7</v>
      </c>
      <c r="D76" s="1" t="s">
        <v>96</v>
      </c>
      <c r="E76" s="29"/>
      <c r="F76" s="29"/>
      <c r="G76" s="29">
        <f t="shared" si="37"/>
        <v>0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</row>
    <row r="77" spans="1:43" ht="20.100000000000001" hidden="1" customHeight="1" x14ac:dyDescent="0.5">
      <c r="A77" s="39">
        <v>9</v>
      </c>
      <c r="B77" s="30" t="s">
        <v>7</v>
      </c>
      <c r="C77" s="1">
        <v>0.35</v>
      </c>
      <c r="D77" s="1" t="s">
        <v>98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</row>
    <row r="78" spans="1:43" ht="20.100000000000001" customHeight="1" x14ac:dyDescent="0.5">
      <c r="A78" s="46"/>
      <c r="B78" s="239" t="s">
        <v>10</v>
      </c>
      <c r="C78" s="240"/>
      <c r="D78" s="241"/>
      <c r="E78" s="22">
        <f t="shared" ref="E78:AN78" si="38">SUM(E69:E77)</f>
        <v>0</v>
      </c>
      <c r="F78" s="22">
        <f t="shared" si="38"/>
        <v>0</v>
      </c>
      <c r="G78" s="22">
        <f>SUM(G69:G77)</f>
        <v>0</v>
      </c>
      <c r="H78" s="22">
        <f t="shared" si="38"/>
        <v>0</v>
      </c>
      <c r="I78" s="22">
        <f t="shared" si="38"/>
        <v>0</v>
      </c>
      <c r="J78" s="22">
        <f t="shared" si="38"/>
        <v>0</v>
      </c>
      <c r="K78" s="22">
        <f t="shared" si="38"/>
        <v>0</v>
      </c>
      <c r="L78" s="22">
        <f t="shared" si="38"/>
        <v>0</v>
      </c>
      <c r="M78" s="22">
        <f t="shared" si="38"/>
        <v>0</v>
      </c>
      <c r="N78" s="22">
        <f t="shared" si="38"/>
        <v>0</v>
      </c>
      <c r="O78" s="22">
        <f t="shared" si="38"/>
        <v>0</v>
      </c>
      <c r="P78" s="22">
        <f t="shared" si="38"/>
        <v>0</v>
      </c>
      <c r="Q78" s="22">
        <f t="shared" si="38"/>
        <v>0</v>
      </c>
      <c r="R78" s="22">
        <f t="shared" si="38"/>
        <v>0</v>
      </c>
      <c r="S78" s="22">
        <f t="shared" si="38"/>
        <v>0</v>
      </c>
      <c r="T78" s="22">
        <f t="shared" si="38"/>
        <v>0</v>
      </c>
      <c r="U78" s="22">
        <f t="shared" si="38"/>
        <v>0</v>
      </c>
      <c r="V78" s="22">
        <f t="shared" si="38"/>
        <v>0</v>
      </c>
      <c r="W78" s="22">
        <f t="shared" si="38"/>
        <v>0</v>
      </c>
      <c r="X78" s="22">
        <f t="shared" si="38"/>
        <v>0</v>
      </c>
      <c r="Y78" s="22">
        <f t="shared" si="38"/>
        <v>0</v>
      </c>
      <c r="Z78" s="22">
        <f t="shared" si="38"/>
        <v>0</v>
      </c>
      <c r="AA78" s="22">
        <f t="shared" si="38"/>
        <v>0</v>
      </c>
      <c r="AB78" s="22">
        <f t="shared" si="38"/>
        <v>0</v>
      </c>
      <c r="AC78" s="22">
        <f t="shared" si="38"/>
        <v>0</v>
      </c>
      <c r="AD78" s="22">
        <f t="shared" si="38"/>
        <v>0</v>
      </c>
      <c r="AE78" s="22">
        <f t="shared" si="38"/>
        <v>0</v>
      </c>
      <c r="AF78" s="22">
        <f t="shared" si="38"/>
        <v>0</v>
      </c>
      <c r="AG78" s="22">
        <f t="shared" si="38"/>
        <v>0</v>
      </c>
      <c r="AH78" s="22">
        <f t="shared" si="38"/>
        <v>0</v>
      </c>
      <c r="AI78" s="22">
        <f t="shared" si="38"/>
        <v>0</v>
      </c>
      <c r="AJ78" s="22">
        <f t="shared" si="38"/>
        <v>0</v>
      </c>
      <c r="AK78" s="22">
        <f t="shared" si="38"/>
        <v>0</v>
      </c>
      <c r="AL78" s="22">
        <f t="shared" si="38"/>
        <v>0</v>
      </c>
      <c r="AM78" s="22">
        <f t="shared" si="38"/>
        <v>0</v>
      </c>
      <c r="AN78" s="22">
        <f t="shared" si="38"/>
        <v>0</v>
      </c>
      <c r="AO78" s="22">
        <f t="shared" ref="AO78:AQ78" si="39">SUM(AO69:AO77)</f>
        <v>0</v>
      </c>
      <c r="AP78" s="22">
        <f t="shared" si="39"/>
        <v>0</v>
      </c>
      <c r="AQ78" s="22">
        <f t="shared" si="39"/>
        <v>0</v>
      </c>
    </row>
    <row r="79" spans="1:43" s="44" customFormat="1" ht="20.100000000000001" customHeight="1" x14ac:dyDescent="0.5">
      <c r="A79" s="45"/>
      <c r="B79" s="242" t="s">
        <v>49</v>
      </c>
      <c r="C79" s="243"/>
      <c r="D79" s="244"/>
      <c r="E79" s="38">
        <f t="shared" ref="E79:F79" si="40">E67+E78</f>
        <v>40</v>
      </c>
      <c r="F79" s="38">
        <f t="shared" si="40"/>
        <v>560</v>
      </c>
      <c r="G79" s="38">
        <f>G67+G78</f>
        <v>358.40000000000003</v>
      </c>
      <c r="H79" s="38">
        <f t="shared" ref="H79" si="41">H67+H78</f>
        <v>0</v>
      </c>
      <c r="I79" s="38"/>
      <c r="J79" s="37">
        <f t="shared" ref="J79:K79" si="42">J67+J78</f>
        <v>0</v>
      </c>
      <c r="K79" s="38">
        <f t="shared" si="42"/>
        <v>60</v>
      </c>
      <c r="L79" s="38">
        <f>L67+L78</f>
        <v>840</v>
      </c>
      <c r="M79" s="94">
        <f t="shared" ref="M79:O79" si="43">M67+M78</f>
        <v>537.6</v>
      </c>
      <c r="N79" s="38">
        <f t="shared" si="43"/>
        <v>120</v>
      </c>
      <c r="O79" s="38">
        <f t="shared" si="43"/>
        <v>1680</v>
      </c>
      <c r="P79" s="38">
        <f t="shared" ref="P79:R79" si="44">P67+P78</f>
        <v>1075.2</v>
      </c>
      <c r="Q79" s="38">
        <f t="shared" si="44"/>
        <v>200</v>
      </c>
      <c r="R79" s="38">
        <f t="shared" si="44"/>
        <v>2800</v>
      </c>
      <c r="S79" s="37">
        <f t="shared" ref="S79:T79" si="45">S67+S78</f>
        <v>1792.0000000000002</v>
      </c>
      <c r="T79" s="38">
        <f t="shared" si="45"/>
        <v>0</v>
      </c>
      <c r="U79" s="38"/>
      <c r="V79" s="37">
        <f t="shared" ref="V79:X79" si="46">V67+V78</f>
        <v>0</v>
      </c>
      <c r="W79" s="38">
        <f t="shared" si="46"/>
        <v>200</v>
      </c>
      <c r="X79" s="38">
        <f t="shared" si="46"/>
        <v>2800</v>
      </c>
      <c r="Y79" s="37">
        <f t="shared" ref="Y79:Z79" si="47">Y67+Y78</f>
        <v>1792</v>
      </c>
      <c r="Z79" s="38">
        <f t="shared" si="47"/>
        <v>200</v>
      </c>
      <c r="AA79" s="38"/>
      <c r="AB79" s="37">
        <f t="shared" ref="AB79:AC79" si="48">AB67+AB78</f>
        <v>1792</v>
      </c>
      <c r="AC79" s="38">
        <f t="shared" si="48"/>
        <v>0</v>
      </c>
      <c r="AD79" s="38"/>
      <c r="AE79" s="37">
        <f t="shared" ref="AE79:AF79" si="49">AE67+AE78</f>
        <v>0</v>
      </c>
      <c r="AF79" s="38">
        <f t="shared" si="49"/>
        <v>200</v>
      </c>
      <c r="AG79" s="38"/>
      <c r="AH79" s="37">
        <f t="shared" ref="AH79:AI79" si="50">AH67+AH78</f>
        <v>1792</v>
      </c>
      <c r="AI79" s="38">
        <f t="shared" si="50"/>
        <v>0</v>
      </c>
      <c r="AJ79" s="38"/>
      <c r="AK79" s="37">
        <f t="shared" ref="AK79:AL79" si="51">AK67+AK78</f>
        <v>0</v>
      </c>
      <c r="AL79" s="38">
        <f t="shared" si="51"/>
        <v>200</v>
      </c>
      <c r="AM79" s="38"/>
      <c r="AN79" s="37">
        <f t="shared" ref="AN79:AO79" si="52">AN67+AN78</f>
        <v>1792</v>
      </c>
      <c r="AO79" s="38">
        <f t="shared" si="52"/>
        <v>0</v>
      </c>
      <c r="AP79" s="38"/>
      <c r="AQ79" s="37">
        <f t="shared" ref="AQ79" si="53">AQ67+AQ78</f>
        <v>0</v>
      </c>
    </row>
    <row r="81" spans="1:43" x14ac:dyDescent="0.5">
      <c r="F81" s="53"/>
      <c r="G81" s="53"/>
    </row>
    <row r="83" spans="1:43" ht="25.15" customHeight="1" x14ac:dyDescent="0.5">
      <c r="B83" s="41" t="s">
        <v>161</v>
      </c>
    </row>
    <row r="84" spans="1:43" ht="15" customHeight="1" x14ac:dyDescent="0.5"/>
    <row r="85" spans="1:43" ht="42.75" customHeight="1" x14ac:dyDescent="0.5">
      <c r="A85" s="245" t="s">
        <v>52</v>
      </c>
      <c r="B85" s="245" t="s">
        <v>51</v>
      </c>
      <c r="C85" s="247" t="s">
        <v>117</v>
      </c>
      <c r="D85" s="247" t="s">
        <v>95</v>
      </c>
      <c r="E85" s="236" t="s">
        <v>19</v>
      </c>
      <c r="F85" s="237"/>
      <c r="G85" s="238"/>
      <c r="H85" s="236" t="s">
        <v>58</v>
      </c>
      <c r="I85" s="237"/>
      <c r="J85" s="238"/>
      <c r="K85" s="236" t="s">
        <v>59</v>
      </c>
      <c r="L85" s="237"/>
      <c r="M85" s="238"/>
      <c r="N85" s="236" t="s">
        <v>60</v>
      </c>
      <c r="O85" s="237"/>
      <c r="P85" s="238"/>
      <c r="Q85" s="236" t="s">
        <v>61</v>
      </c>
      <c r="R85" s="237"/>
      <c r="S85" s="238"/>
      <c r="T85" s="236" t="s">
        <v>62</v>
      </c>
      <c r="U85" s="237"/>
      <c r="V85" s="238"/>
      <c r="W85" s="236" t="s">
        <v>63</v>
      </c>
      <c r="X85" s="237"/>
      <c r="Y85" s="238"/>
      <c r="Z85" s="236" t="s">
        <v>64</v>
      </c>
      <c r="AA85" s="237"/>
      <c r="AB85" s="238"/>
      <c r="AC85" s="236" t="s">
        <v>65</v>
      </c>
      <c r="AD85" s="237"/>
      <c r="AE85" s="238"/>
      <c r="AF85" s="236" t="s">
        <v>18</v>
      </c>
      <c r="AG85" s="237"/>
      <c r="AH85" s="238"/>
      <c r="AI85" s="236" t="s">
        <v>17</v>
      </c>
      <c r="AJ85" s="237"/>
      <c r="AK85" s="238"/>
      <c r="AL85" s="236" t="s">
        <v>16</v>
      </c>
      <c r="AM85" s="237"/>
      <c r="AN85" s="238"/>
      <c r="AO85" s="236" t="s">
        <v>139</v>
      </c>
      <c r="AP85" s="237"/>
      <c r="AQ85" s="238"/>
    </row>
    <row r="86" spans="1:43" ht="25.15" customHeight="1" x14ac:dyDescent="0.5">
      <c r="A86" s="246"/>
      <c r="B86" s="246"/>
      <c r="C86" s="248"/>
      <c r="D86" s="248"/>
      <c r="E86" s="40" t="s">
        <v>50</v>
      </c>
      <c r="F86" s="40" t="s">
        <v>56</v>
      </c>
      <c r="G86" s="40" t="s">
        <v>93</v>
      </c>
      <c r="H86" s="40" t="s">
        <v>50</v>
      </c>
      <c r="I86" s="40" t="s">
        <v>56</v>
      </c>
      <c r="J86" s="40" t="s">
        <v>57</v>
      </c>
      <c r="K86" s="40" t="s">
        <v>50</v>
      </c>
      <c r="L86" s="40" t="s">
        <v>56</v>
      </c>
      <c r="M86" s="40" t="s">
        <v>57</v>
      </c>
      <c r="N86" s="40" t="s">
        <v>50</v>
      </c>
      <c r="O86" s="40" t="s">
        <v>56</v>
      </c>
      <c r="P86" s="40" t="s">
        <v>57</v>
      </c>
      <c r="Q86" s="40" t="s">
        <v>50</v>
      </c>
      <c r="R86" s="40" t="s">
        <v>56</v>
      </c>
      <c r="S86" s="40" t="s">
        <v>57</v>
      </c>
      <c r="T86" s="40" t="s">
        <v>50</v>
      </c>
      <c r="U86" s="40" t="s">
        <v>56</v>
      </c>
      <c r="V86" s="40" t="s">
        <v>57</v>
      </c>
      <c r="W86" s="40" t="s">
        <v>50</v>
      </c>
      <c r="X86" s="40" t="s">
        <v>56</v>
      </c>
      <c r="Y86" s="40" t="s">
        <v>57</v>
      </c>
      <c r="Z86" s="40" t="s">
        <v>50</v>
      </c>
      <c r="AA86" s="40" t="s">
        <v>56</v>
      </c>
      <c r="AB86" s="40" t="s">
        <v>57</v>
      </c>
      <c r="AC86" s="40" t="s">
        <v>50</v>
      </c>
      <c r="AD86" s="40" t="s">
        <v>56</v>
      </c>
      <c r="AE86" s="40" t="s">
        <v>57</v>
      </c>
      <c r="AF86" s="40" t="s">
        <v>50</v>
      </c>
      <c r="AG86" s="40" t="s">
        <v>56</v>
      </c>
      <c r="AH86" s="40" t="s">
        <v>57</v>
      </c>
      <c r="AI86" s="40" t="s">
        <v>50</v>
      </c>
      <c r="AJ86" s="40" t="s">
        <v>56</v>
      </c>
      <c r="AK86" s="40" t="s">
        <v>57</v>
      </c>
      <c r="AL86" s="40" t="s">
        <v>50</v>
      </c>
      <c r="AM86" s="40" t="s">
        <v>56</v>
      </c>
      <c r="AN86" s="40" t="s">
        <v>57</v>
      </c>
      <c r="AO86" s="40" t="s">
        <v>50</v>
      </c>
      <c r="AP86" s="40" t="s">
        <v>56</v>
      </c>
      <c r="AQ86" s="40" t="s">
        <v>57</v>
      </c>
    </row>
    <row r="87" spans="1:43" s="43" customFormat="1" ht="25.15" hidden="1" customHeight="1" x14ac:dyDescent="0.5">
      <c r="A87" s="29">
        <v>1</v>
      </c>
      <c r="B87" s="1" t="s">
        <v>67</v>
      </c>
      <c r="C87" s="34">
        <v>0.7</v>
      </c>
      <c r="D87" s="34" t="s">
        <v>96</v>
      </c>
      <c r="E87" s="29"/>
      <c r="F87" s="29"/>
      <c r="G87" s="29">
        <f>F87*C87</f>
        <v>0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</row>
    <row r="88" spans="1:43" s="43" customFormat="1" ht="25.15" hidden="1" customHeight="1" x14ac:dyDescent="0.5">
      <c r="A88" s="29">
        <v>2</v>
      </c>
      <c r="B88" s="1"/>
      <c r="C88" s="34"/>
      <c r="D88" s="34"/>
      <c r="E88" s="29"/>
      <c r="F88" s="29"/>
      <c r="G88" s="29">
        <f t="shared" ref="G88:G113" si="54">F88*C88</f>
        <v>0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</row>
    <row r="89" spans="1:43" ht="25.15" hidden="1" customHeight="1" x14ac:dyDescent="0.5">
      <c r="A89" s="29">
        <v>3</v>
      </c>
      <c r="B89" s="1" t="s">
        <v>68</v>
      </c>
      <c r="C89" s="30">
        <v>1</v>
      </c>
      <c r="D89" s="30" t="s">
        <v>96</v>
      </c>
      <c r="E89" s="28"/>
      <c r="F89" s="28"/>
      <c r="G89" s="29">
        <f t="shared" si="54"/>
        <v>0</v>
      </c>
      <c r="H89" s="28"/>
      <c r="I89" s="28"/>
      <c r="J89" s="29"/>
      <c r="K89" s="28"/>
      <c r="L89" s="28"/>
      <c r="M89" s="29"/>
      <c r="N89" s="28"/>
      <c r="O89" s="28"/>
      <c r="P89" s="29"/>
      <c r="Q89" s="28"/>
      <c r="R89" s="28"/>
      <c r="S89" s="29"/>
      <c r="T89" s="28"/>
      <c r="U89" s="28"/>
      <c r="V89" s="29"/>
      <c r="W89" s="28"/>
      <c r="X89" s="28"/>
      <c r="Y89" s="29"/>
      <c r="Z89" s="28"/>
      <c r="AA89" s="28"/>
      <c r="AB89" s="29"/>
      <c r="AC89" s="28"/>
      <c r="AD89" s="28"/>
      <c r="AE89" s="29"/>
      <c r="AF89" s="28"/>
      <c r="AG89" s="28"/>
      <c r="AH89" s="29"/>
      <c r="AI89" s="28"/>
      <c r="AJ89" s="28"/>
      <c r="AK89" s="29"/>
      <c r="AL89" s="28"/>
      <c r="AM89" s="28"/>
      <c r="AN89" s="29"/>
      <c r="AO89" s="28"/>
      <c r="AP89" s="28"/>
      <c r="AQ89" s="29"/>
    </row>
    <row r="90" spans="1:43" ht="25.15" hidden="1" customHeight="1" x14ac:dyDescent="0.5">
      <c r="A90" s="28">
        <v>4</v>
      </c>
      <c r="B90" s="1" t="s">
        <v>69</v>
      </c>
      <c r="C90" s="30">
        <v>1</v>
      </c>
      <c r="D90" s="30" t="s">
        <v>96</v>
      </c>
      <c r="E90" s="28"/>
      <c r="F90" s="28"/>
      <c r="G90" s="29">
        <f t="shared" si="54"/>
        <v>0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</row>
    <row r="91" spans="1:43" ht="25.15" hidden="1" customHeight="1" x14ac:dyDescent="0.5">
      <c r="A91" s="28">
        <v>5</v>
      </c>
      <c r="B91" s="1" t="s">
        <v>70</v>
      </c>
      <c r="C91" s="30"/>
      <c r="D91" s="30"/>
      <c r="E91" s="28"/>
      <c r="F91" s="28"/>
      <c r="G91" s="29">
        <f t="shared" si="54"/>
        <v>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</row>
    <row r="92" spans="1:43" ht="25.15" hidden="1" customHeight="1" x14ac:dyDescent="0.5">
      <c r="A92" s="28">
        <v>6</v>
      </c>
      <c r="B92" s="1" t="s">
        <v>71</v>
      </c>
      <c r="C92" s="30">
        <v>0.35</v>
      </c>
      <c r="D92" s="30" t="s">
        <v>97</v>
      </c>
      <c r="E92" s="28"/>
      <c r="F92" s="28"/>
      <c r="G92" s="29">
        <f t="shared" si="54"/>
        <v>0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</row>
    <row r="93" spans="1:43" ht="25.15" hidden="1" customHeight="1" x14ac:dyDescent="0.5">
      <c r="A93" s="28">
        <v>7</v>
      </c>
      <c r="B93" s="1" t="s">
        <v>72</v>
      </c>
      <c r="C93" s="30"/>
      <c r="D93" s="30"/>
      <c r="E93" s="28"/>
      <c r="F93" s="28"/>
      <c r="G93" s="29">
        <f t="shared" si="54"/>
        <v>0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</row>
    <row r="94" spans="1:43" ht="25.15" hidden="1" customHeight="1" x14ac:dyDescent="0.5">
      <c r="A94" s="28">
        <v>8</v>
      </c>
      <c r="B94" s="1" t="s">
        <v>73</v>
      </c>
      <c r="C94" s="30">
        <v>0.64</v>
      </c>
      <c r="D94" s="30" t="s">
        <v>99</v>
      </c>
      <c r="E94" s="28"/>
      <c r="F94" s="28"/>
      <c r="G94" s="29">
        <f t="shared" si="54"/>
        <v>0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</row>
    <row r="95" spans="1:43" ht="25.15" hidden="1" customHeight="1" x14ac:dyDescent="0.5">
      <c r="A95" s="28">
        <v>9</v>
      </c>
      <c r="B95" s="1" t="s">
        <v>73</v>
      </c>
      <c r="C95" s="30"/>
      <c r="D95" s="30"/>
      <c r="E95" s="28"/>
      <c r="F95" s="28"/>
      <c r="G95" s="29">
        <f t="shared" si="54"/>
        <v>0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1:43" ht="25.15" hidden="1" customHeight="1" x14ac:dyDescent="0.5">
      <c r="A96" s="28">
        <v>10</v>
      </c>
      <c r="B96" s="1" t="s">
        <v>73</v>
      </c>
      <c r="C96" s="30"/>
      <c r="D96" s="30"/>
      <c r="E96" s="28"/>
      <c r="F96" s="28"/>
      <c r="G96" s="29">
        <f t="shared" si="54"/>
        <v>0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</row>
    <row r="97" spans="1:43" ht="25.15" hidden="1" customHeight="1" x14ac:dyDescent="0.5">
      <c r="A97" s="28">
        <v>11</v>
      </c>
      <c r="B97" s="1"/>
      <c r="C97" s="30"/>
      <c r="D97" s="30"/>
      <c r="E97" s="28"/>
      <c r="F97" s="28"/>
      <c r="G97" s="29">
        <f t="shared" si="54"/>
        <v>0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</row>
    <row r="98" spans="1:43" ht="25.15" hidden="1" customHeight="1" x14ac:dyDescent="0.5">
      <c r="A98" s="28">
        <v>12</v>
      </c>
      <c r="B98" s="1" t="s">
        <v>74</v>
      </c>
      <c r="C98" s="30">
        <v>1</v>
      </c>
      <c r="D98" s="30" t="s">
        <v>96</v>
      </c>
      <c r="E98" s="28"/>
      <c r="F98" s="28"/>
      <c r="G98" s="29">
        <f t="shared" si="54"/>
        <v>0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</row>
    <row r="99" spans="1:43" ht="25.15" hidden="1" customHeight="1" x14ac:dyDescent="0.5">
      <c r="A99" s="28">
        <v>13</v>
      </c>
      <c r="B99" s="1" t="s">
        <v>75</v>
      </c>
      <c r="C99" s="30"/>
      <c r="D99" s="30"/>
      <c r="E99" s="28"/>
      <c r="F99" s="28"/>
      <c r="G99" s="29">
        <f t="shared" si="54"/>
        <v>0</v>
      </c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</row>
    <row r="100" spans="1:43" ht="25.15" hidden="1" customHeight="1" x14ac:dyDescent="0.5">
      <c r="A100" s="28">
        <v>14</v>
      </c>
      <c r="B100" s="1" t="s">
        <v>76</v>
      </c>
      <c r="C100" s="30"/>
      <c r="D100" s="30"/>
      <c r="E100" s="28"/>
      <c r="F100" s="28"/>
      <c r="G100" s="29">
        <f t="shared" si="54"/>
        <v>0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</row>
    <row r="101" spans="1:43" s="43" customFormat="1" ht="25.15" hidden="1" customHeight="1" x14ac:dyDescent="0.5">
      <c r="A101" s="28">
        <v>15</v>
      </c>
      <c r="B101" s="1" t="s">
        <v>77</v>
      </c>
      <c r="C101" s="34"/>
      <c r="D101" s="34"/>
      <c r="E101" s="29"/>
      <c r="F101" s="29"/>
      <c r="G101" s="29">
        <f t="shared" si="54"/>
        <v>0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</row>
    <row r="102" spans="1:43" ht="25.15" hidden="1" customHeight="1" x14ac:dyDescent="0.5">
      <c r="A102" s="28">
        <v>16</v>
      </c>
      <c r="B102" s="1" t="s">
        <v>78</v>
      </c>
      <c r="C102" s="30"/>
      <c r="D102" s="30"/>
      <c r="E102" s="28"/>
      <c r="F102" s="28"/>
      <c r="G102" s="29">
        <f t="shared" si="54"/>
        <v>0</v>
      </c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</row>
    <row r="103" spans="1:43" ht="25.15" hidden="1" customHeight="1" x14ac:dyDescent="0.5">
      <c r="A103" s="28">
        <v>17</v>
      </c>
      <c r="B103" s="1" t="s">
        <v>79</v>
      </c>
      <c r="C103" s="30"/>
      <c r="D103" s="30"/>
      <c r="E103" s="28"/>
      <c r="F103" s="28"/>
      <c r="G103" s="29">
        <f t="shared" si="54"/>
        <v>0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</row>
    <row r="104" spans="1:43" ht="25.15" hidden="1" customHeight="1" x14ac:dyDescent="0.5">
      <c r="A104" s="28">
        <v>18</v>
      </c>
      <c r="B104" s="1" t="s">
        <v>80</v>
      </c>
      <c r="C104" s="30"/>
      <c r="D104" s="30"/>
      <c r="E104" s="28"/>
      <c r="F104" s="28"/>
      <c r="G104" s="29">
        <f t="shared" si="54"/>
        <v>0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</row>
    <row r="105" spans="1:43" ht="24" hidden="1" customHeight="1" x14ac:dyDescent="0.5">
      <c r="A105" s="28">
        <v>19</v>
      </c>
      <c r="B105" s="1" t="s">
        <v>81</v>
      </c>
      <c r="C105" s="30"/>
      <c r="D105" s="30"/>
      <c r="E105" s="28"/>
      <c r="F105" s="28"/>
      <c r="G105" s="29">
        <f t="shared" si="54"/>
        <v>0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</row>
    <row r="106" spans="1:43" ht="24" hidden="1" customHeight="1" x14ac:dyDescent="0.5">
      <c r="A106" s="28">
        <v>20</v>
      </c>
      <c r="B106" s="1" t="s">
        <v>82</v>
      </c>
      <c r="C106" s="30"/>
      <c r="D106" s="30"/>
      <c r="E106" s="28"/>
      <c r="F106" s="28"/>
      <c r="G106" s="29">
        <f t="shared" si="54"/>
        <v>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</row>
    <row r="107" spans="1:43" ht="24" hidden="1" customHeight="1" x14ac:dyDescent="0.5">
      <c r="A107" s="28">
        <v>21</v>
      </c>
      <c r="B107" s="1" t="s">
        <v>83</v>
      </c>
      <c r="C107" s="30">
        <v>1</v>
      </c>
      <c r="D107" s="30" t="s">
        <v>96</v>
      </c>
      <c r="E107" s="28"/>
      <c r="F107" s="28"/>
      <c r="G107" s="29">
        <f t="shared" si="54"/>
        <v>0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</row>
    <row r="108" spans="1:43" ht="24" hidden="1" customHeight="1" x14ac:dyDescent="0.5">
      <c r="A108" s="28">
        <v>22</v>
      </c>
      <c r="B108" s="1" t="s">
        <v>84</v>
      </c>
      <c r="C108" s="30"/>
      <c r="D108" s="30"/>
      <c r="E108" s="28"/>
      <c r="F108" s="28"/>
      <c r="G108" s="29">
        <f t="shared" si="54"/>
        <v>0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</row>
    <row r="109" spans="1:43" ht="24" hidden="1" customHeight="1" x14ac:dyDescent="0.5">
      <c r="A109" s="28">
        <v>23</v>
      </c>
      <c r="B109" s="1" t="s">
        <v>85</v>
      </c>
      <c r="C109" s="30"/>
      <c r="D109" s="30"/>
      <c r="E109" s="28"/>
      <c r="F109" s="28"/>
      <c r="G109" s="29">
        <f t="shared" si="54"/>
        <v>0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</row>
    <row r="110" spans="1:43" ht="24" hidden="1" customHeight="1" x14ac:dyDescent="0.5">
      <c r="A110" s="28">
        <v>24</v>
      </c>
      <c r="B110" s="1" t="s">
        <v>86</v>
      </c>
      <c r="C110" s="30"/>
      <c r="D110" s="30"/>
      <c r="E110" s="28"/>
      <c r="F110" s="28"/>
      <c r="G110" s="29">
        <f t="shared" si="54"/>
        <v>0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</row>
    <row r="111" spans="1:43" ht="24" hidden="1" customHeight="1" x14ac:dyDescent="0.5">
      <c r="A111" s="28">
        <v>25</v>
      </c>
      <c r="B111" s="1" t="s">
        <v>87</v>
      </c>
      <c r="C111" s="30"/>
      <c r="D111" s="30"/>
      <c r="E111" s="28"/>
      <c r="F111" s="28"/>
      <c r="G111" s="29">
        <f t="shared" si="54"/>
        <v>0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ht="24" hidden="1" customHeight="1" x14ac:dyDescent="0.5">
      <c r="A112" s="28">
        <v>26</v>
      </c>
      <c r="B112" s="1" t="s">
        <v>88</v>
      </c>
      <c r="C112" s="30"/>
      <c r="D112" s="30"/>
      <c r="E112" s="28"/>
      <c r="F112" s="28"/>
      <c r="G112" s="29">
        <f t="shared" si="54"/>
        <v>0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spans="1:43" ht="24" hidden="1" customHeight="1" x14ac:dyDescent="0.5">
      <c r="A113" s="28">
        <v>27</v>
      </c>
      <c r="B113" s="1" t="s">
        <v>89</v>
      </c>
      <c r="C113" s="39"/>
      <c r="D113" s="30"/>
      <c r="E113" s="28"/>
      <c r="F113" s="28"/>
      <c r="G113" s="29">
        <f t="shared" si="54"/>
        <v>0</v>
      </c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</row>
    <row r="114" spans="1:43" ht="20.100000000000001" customHeight="1" x14ac:dyDescent="0.5">
      <c r="A114" s="28">
        <v>28</v>
      </c>
      <c r="B114" s="1" t="s">
        <v>89</v>
      </c>
      <c r="C114" s="85">
        <v>0.64</v>
      </c>
      <c r="D114" s="30" t="s">
        <v>99</v>
      </c>
      <c r="E114" s="28"/>
      <c r="F114" s="28"/>
      <c r="G114" s="29"/>
      <c r="H114" s="28"/>
      <c r="I114" s="28"/>
      <c r="J114" s="28"/>
      <c r="K114" s="28"/>
      <c r="L114" s="28"/>
      <c r="M114" s="93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</row>
    <row r="115" spans="1:43" ht="20.100000000000001" customHeight="1" x14ac:dyDescent="0.5">
      <c r="A115" s="28">
        <v>29</v>
      </c>
      <c r="B115" s="1" t="s">
        <v>88</v>
      </c>
      <c r="C115" s="85">
        <v>0.64</v>
      </c>
      <c r="D115" s="30" t="s">
        <v>99</v>
      </c>
      <c r="E115" s="28"/>
      <c r="F115" s="28"/>
      <c r="G115" s="29"/>
      <c r="H115" s="28"/>
      <c r="I115" s="28"/>
      <c r="J115" s="28"/>
      <c r="K115" s="28"/>
      <c r="L115" s="28"/>
      <c r="M115" s="93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</row>
    <row r="116" spans="1:43" ht="20.100000000000001" hidden="1" customHeight="1" x14ac:dyDescent="0.5">
      <c r="A116" s="28">
        <v>30</v>
      </c>
      <c r="B116" s="1" t="s">
        <v>88</v>
      </c>
      <c r="C116" s="30">
        <v>0.64</v>
      </c>
      <c r="D116" s="30" t="s">
        <v>98</v>
      </c>
      <c r="E116" s="28"/>
      <c r="F116" s="28"/>
      <c r="G116" s="29">
        <f t="shared" ref="G116:G121" si="55">F116*C116</f>
        <v>0</v>
      </c>
      <c r="H116" s="28"/>
      <c r="I116" s="28"/>
      <c r="J116" s="28"/>
      <c r="K116" s="28"/>
      <c r="L116" s="28"/>
      <c r="M116" s="93">
        <f t="shared" ref="M116:M124" si="56">L116*C116</f>
        <v>0</v>
      </c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</row>
    <row r="117" spans="1:43" ht="20.100000000000001" hidden="1" customHeight="1" x14ac:dyDescent="0.5">
      <c r="A117" s="28">
        <v>31</v>
      </c>
      <c r="B117" s="1" t="s">
        <v>9</v>
      </c>
      <c r="C117" s="30">
        <v>0.64</v>
      </c>
      <c r="D117" s="30" t="s">
        <v>99</v>
      </c>
      <c r="E117" s="28"/>
      <c r="F117" s="28"/>
      <c r="G117" s="29">
        <f t="shared" si="55"/>
        <v>0</v>
      </c>
      <c r="H117" s="28"/>
      <c r="I117" s="28"/>
      <c r="J117" s="28"/>
      <c r="K117" s="28"/>
      <c r="L117" s="28"/>
      <c r="M117" s="93">
        <f t="shared" si="56"/>
        <v>0</v>
      </c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</row>
    <row r="118" spans="1:43" ht="20.100000000000001" hidden="1" customHeight="1" x14ac:dyDescent="0.5">
      <c r="A118" s="28">
        <v>32</v>
      </c>
      <c r="B118" s="30" t="s">
        <v>90</v>
      </c>
      <c r="C118" s="30">
        <v>1</v>
      </c>
      <c r="D118" s="30" t="s">
        <v>96</v>
      </c>
      <c r="E118" s="28"/>
      <c r="F118" s="28"/>
      <c r="G118" s="29">
        <f t="shared" si="55"/>
        <v>0</v>
      </c>
      <c r="H118" s="28"/>
      <c r="I118" s="28"/>
      <c r="J118" s="28"/>
      <c r="K118" s="28"/>
      <c r="L118" s="28"/>
      <c r="M118" s="93">
        <f t="shared" si="56"/>
        <v>0</v>
      </c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</row>
    <row r="119" spans="1:43" ht="20.100000000000001" hidden="1" customHeight="1" x14ac:dyDescent="0.5">
      <c r="A119" s="28">
        <v>33</v>
      </c>
      <c r="B119" s="30" t="s">
        <v>91</v>
      </c>
      <c r="C119" s="30"/>
      <c r="D119" s="30"/>
      <c r="E119" s="28"/>
      <c r="F119" s="28"/>
      <c r="G119" s="29">
        <f t="shared" si="55"/>
        <v>0</v>
      </c>
      <c r="H119" s="28"/>
      <c r="I119" s="28"/>
      <c r="J119" s="28"/>
      <c r="K119" s="28"/>
      <c r="L119" s="28"/>
      <c r="M119" s="93">
        <f t="shared" si="56"/>
        <v>0</v>
      </c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</row>
    <row r="120" spans="1:43" ht="20.100000000000001" hidden="1" customHeight="1" x14ac:dyDescent="0.5">
      <c r="A120" s="28">
        <v>34</v>
      </c>
      <c r="B120" s="30" t="s">
        <v>91</v>
      </c>
      <c r="C120" s="30"/>
      <c r="D120" s="30"/>
      <c r="E120" s="28"/>
      <c r="F120" s="28"/>
      <c r="G120" s="29">
        <f t="shared" si="55"/>
        <v>0</v>
      </c>
      <c r="H120" s="28"/>
      <c r="I120" s="28"/>
      <c r="J120" s="28"/>
      <c r="K120" s="28"/>
      <c r="L120" s="28"/>
      <c r="M120" s="93">
        <f t="shared" si="56"/>
        <v>0</v>
      </c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</row>
    <row r="121" spans="1:43" ht="20.100000000000001" hidden="1" customHeight="1" x14ac:dyDescent="0.5">
      <c r="A121" s="28">
        <v>35</v>
      </c>
      <c r="B121" s="30" t="s">
        <v>92</v>
      </c>
      <c r="C121" s="30">
        <v>0.64</v>
      </c>
      <c r="D121" s="30" t="s">
        <v>98</v>
      </c>
      <c r="E121" s="28"/>
      <c r="F121" s="28"/>
      <c r="G121" s="29">
        <f t="shared" si="55"/>
        <v>0</v>
      </c>
      <c r="H121" s="28"/>
      <c r="I121" s="28"/>
      <c r="J121" s="28"/>
      <c r="K121" s="28"/>
      <c r="L121" s="28"/>
      <c r="M121" s="93">
        <f t="shared" si="56"/>
        <v>0</v>
      </c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</row>
    <row r="122" spans="1:43" ht="20.100000000000001" hidden="1" customHeight="1" x14ac:dyDescent="0.5">
      <c r="A122" s="28">
        <v>36</v>
      </c>
      <c r="B122" s="30"/>
      <c r="C122" s="30"/>
      <c r="D122" s="30"/>
      <c r="E122" s="28"/>
      <c r="F122" s="28"/>
      <c r="G122" s="28"/>
      <c r="H122" s="28"/>
      <c r="I122" s="28"/>
      <c r="J122" s="28"/>
      <c r="K122" s="28"/>
      <c r="L122" s="28"/>
      <c r="M122" s="93">
        <f t="shared" si="56"/>
        <v>0</v>
      </c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</row>
    <row r="123" spans="1:43" ht="20.100000000000001" hidden="1" customHeight="1" x14ac:dyDescent="0.5">
      <c r="A123" s="28">
        <v>37</v>
      </c>
      <c r="B123" s="30"/>
      <c r="C123" s="30"/>
      <c r="D123" s="30"/>
      <c r="E123" s="28"/>
      <c r="F123" s="28"/>
      <c r="G123" s="28"/>
      <c r="H123" s="28"/>
      <c r="I123" s="28"/>
      <c r="J123" s="28"/>
      <c r="K123" s="28"/>
      <c r="L123" s="28"/>
      <c r="M123" s="93">
        <f t="shared" si="56"/>
        <v>0</v>
      </c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</row>
    <row r="124" spans="1:43" ht="20.100000000000001" hidden="1" customHeight="1" x14ac:dyDescent="0.5">
      <c r="A124" s="28">
        <v>38</v>
      </c>
      <c r="B124" s="30"/>
      <c r="C124" s="30"/>
      <c r="D124" s="30"/>
      <c r="E124" s="28"/>
      <c r="F124" s="28"/>
      <c r="G124" s="28"/>
      <c r="H124" s="28"/>
      <c r="I124" s="28"/>
      <c r="J124" s="28"/>
      <c r="K124" s="28"/>
      <c r="L124" s="28"/>
      <c r="M124" s="93">
        <f t="shared" si="56"/>
        <v>0</v>
      </c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</row>
    <row r="125" spans="1:43" s="41" customFormat="1" ht="20.100000000000001" customHeight="1" x14ac:dyDescent="0.5">
      <c r="A125" s="24"/>
      <c r="B125" s="239" t="s">
        <v>10</v>
      </c>
      <c r="C125" s="240"/>
      <c r="D125" s="241"/>
      <c r="E125" s="22">
        <f>SUM(E87:E124)</f>
        <v>0</v>
      </c>
      <c r="F125" s="22">
        <f t="shared" ref="F125" si="57">SUM(F87:F124)</f>
        <v>0</v>
      </c>
      <c r="G125" s="22">
        <f>SUM(G87:G124)</f>
        <v>0</v>
      </c>
      <c r="H125" s="22">
        <f t="shared" ref="H125:AQ125" si="58">SUM(H87:H124)</f>
        <v>0</v>
      </c>
      <c r="I125" s="22">
        <f t="shared" si="58"/>
        <v>0</v>
      </c>
      <c r="J125" s="22">
        <f t="shared" si="58"/>
        <v>0</v>
      </c>
      <c r="K125" s="22">
        <f t="shared" si="58"/>
        <v>0</v>
      </c>
      <c r="L125" s="22">
        <f t="shared" si="58"/>
        <v>0</v>
      </c>
      <c r="M125" s="22">
        <f t="shared" si="58"/>
        <v>0</v>
      </c>
      <c r="N125" s="22">
        <f t="shared" si="58"/>
        <v>0</v>
      </c>
      <c r="O125" s="22">
        <f t="shared" si="58"/>
        <v>0</v>
      </c>
      <c r="P125" s="22">
        <f t="shared" si="58"/>
        <v>0</v>
      </c>
      <c r="Q125" s="22">
        <f t="shared" si="58"/>
        <v>0</v>
      </c>
      <c r="R125" s="22">
        <f t="shared" si="58"/>
        <v>0</v>
      </c>
      <c r="S125" s="22">
        <f t="shared" si="58"/>
        <v>0</v>
      </c>
      <c r="T125" s="22">
        <f t="shared" si="58"/>
        <v>0</v>
      </c>
      <c r="U125" s="22">
        <f t="shared" si="58"/>
        <v>0</v>
      </c>
      <c r="V125" s="22">
        <f t="shared" si="58"/>
        <v>0</v>
      </c>
      <c r="W125" s="22">
        <f t="shared" si="58"/>
        <v>0</v>
      </c>
      <c r="X125" s="22">
        <f t="shared" si="58"/>
        <v>0</v>
      </c>
      <c r="Y125" s="22">
        <f t="shared" si="58"/>
        <v>0</v>
      </c>
      <c r="Z125" s="22">
        <f t="shared" si="58"/>
        <v>0</v>
      </c>
      <c r="AA125" s="22">
        <f t="shared" si="58"/>
        <v>0</v>
      </c>
      <c r="AB125" s="22">
        <f t="shared" si="58"/>
        <v>0</v>
      </c>
      <c r="AC125" s="22">
        <f t="shared" si="58"/>
        <v>0</v>
      </c>
      <c r="AD125" s="22">
        <f t="shared" si="58"/>
        <v>0</v>
      </c>
      <c r="AE125" s="22">
        <f t="shared" si="58"/>
        <v>0</v>
      </c>
      <c r="AF125" s="22">
        <f t="shared" si="58"/>
        <v>0</v>
      </c>
      <c r="AG125" s="22">
        <f t="shared" si="58"/>
        <v>0</v>
      </c>
      <c r="AH125" s="22">
        <f t="shared" si="58"/>
        <v>0</v>
      </c>
      <c r="AI125" s="22">
        <f t="shared" si="58"/>
        <v>0</v>
      </c>
      <c r="AJ125" s="22">
        <f t="shared" si="58"/>
        <v>0</v>
      </c>
      <c r="AK125" s="22">
        <f t="shared" si="58"/>
        <v>0</v>
      </c>
      <c r="AL125" s="22">
        <f t="shared" si="58"/>
        <v>0</v>
      </c>
      <c r="AM125" s="22">
        <f t="shared" si="58"/>
        <v>0</v>
      </c>
      <c r="AN125" s="22">
        <f t="shared" si="58"/>
        <v>0</v>
      </c>
      <c r="AO125" s="22">
        <f t="shared" si="58"/>
        <v>0</v>
      </c>
      <c r="AP125" s="22">
        <f t="shared" si="58"/>
        <v>0</v>
      </c>
      <c r="AQ125" s="22">
        <f t="shared" si="58"/>
        <v>0</v>
      </c>
    </row>
    <row r="126" spans="1:43" ht="20.100000000000001" hidden="1" customHeight="1" x14ac:dyDescent="0.5">
      <c r="A126" s="39"/>
      <c r="B126" s="30"/>
      <c r="C126" s="30"/>
      <c r="D126" s="30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</row>
    <row r="127" spans="1:43" ht="20.100000000000001" hidden="1" customHeight="1" x14ac:dyDescent="0.5">
      <c r="A127" s="39">
        <v>1</v>
      </c>
      <c r="B127" s="30" t="s">
        <v>6</v>
      </c>
      <c r="C127" s="1">
        <v>0.7</v>
      </c>
      <c r="D127" s="1" t="s">
        <v>96</v>
      </c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</row>
    <row r="128" spans="1:43" ht="20.100000000000001" hidden="1" customHeight="1" x14ac:dyDescent="0.5">
      <c r="A128" s="39">
        <v>2</v>
      </c>
      <c r="B128" s="30" t="s">
        <v>5</v>
      </c>
      <c r="C128" s="1">
        <v>0.35</v>
      </c>
      <c r="D128" s="1" t="s">
        <v>98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</row>
    <row r="129" spans="1:43" ht="20.100000000000001" hidden="1" customHeight="1" x14ac:dyDescent="0.5">
      <c r="A129" s="39">
        <v>3</v>
      </c>
      <c r="B129" s="30" t="s">
        <v>4</v>
      </c>
      <c r="C129" s="1">
        <v>0.17499999999999999</v>
      </c>
      <c r="D129" s="1" t="s">
        <v>100</v>
      </c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</row>
    <row r="130" spans="1:43" ht="20.100000000000001" hidden="1" customHeight="1" x14ac:dyDescent="0.5">
      <c r="A130" s="39">
        <v>4</v>
      </c>
      <c r="B130" s="30" t="s">
        <v>3</v>
      </c>
      <c r="C130" s="1">
        <v>0.7</v>
      </c>
      <c r="D130" s="1" t="s">
        <v>96</v>
      </c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</row>
    <row r="131" spans="1:43" ht="20.100000000000001" hidden="1" customHeight="1" x14ac:dyDescent="0.5">
      <c r="A131" s="39">
        <v>5</v>
      </c>
      <c r="B131" s="30" t="s">
        <v>2</v>
      </c>
      <c r="C131" s="1">
        <v>0.35</v>
      </c>
      <c r="D131" s="1" t="s">
        <v>98</v>
      </c>
      <c r="E131" s="29"/>
      <c r="F131" s="29"/>
      <c r="G131" s="29">
        <f>F131*C131</f>
        <v>0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</row>
    <row r="132" spans="1:43" ht="20.100000000000001" hidden="1" customHeight="1" x14ac:dyDescent="0.5">
      <c r="A132" s="39">
        <v>6</v>
      </c>
      <c r="B132" s="30" t="s">
        <v>1</v>
      </c>
      <c r="C132" s="1">
        <v>0.17499999999999999</v>
      </c>
      <c r="D132" s="1" t="s">
        <v>100</v>
      </c>
      <c r="E132" s="29"/>
      <c r="F132" s="29"/>
      <c r="G132" s="29">
        <f t="shared" ref="G132:G134" si="59">F132*C132</f>
        <v>0</v>
      </c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</row>
    <row r="133" spans="1:43" ht="20.100000000000001" hidden="1" customHeight="1" x14ac:dyDescent="0.5">
      <c r="A133" s="39">
        <v>7</v>
      </c>
      <c r="B133" s="30" t="s">
        <v>0</v>
      </c>
      <c r="C133" s="1">
        <v>0.7</v>
      </c>
      <c r="D133" s="1" t="s">
        <v>96</v>
      </c>
      <c r="E133" s="29"/>
      <c r="F133" s="29"/>
      <c r="G133" s="29">
        <f t="shared" si="59"/>
        <v>0</v>
      </c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</row>
    <row r="134" spans="1:43" ht="20.100000000000001" hidden="1" customHeight="1" x14ac:dyDescent="0.5">
      <c r="A134" s="39">
        <v>8</v>
      </c>
      <c r="B134" s="30" t="s">
        <v>8</v>
      </c>
      <c r="C134" s="1">
        <v>0.7</v>
      </c>
      <c r="D134" s="1" t="s">
        <v>96</v>
      </c>
      <c r="E134" s="29"/>
      <c r="F134" s="29"/>
      <c r="G134" s="29">
        <f t="shared" si="59"/>
        <v>0</v>
      </c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</row>
    <row r="135" spans="1:43" ht="20.100000000000001" hidden="1" customHeight="1" x14ac:dyDescent="0.5">
      <c r="A135" s="39">
        <v>9</v>
      </c>
      <c r="B135" s="30" t="s">
        <v>7</v>
      </c>
      <c r="C135" s="1">
        <v>0.35</v>
      </c>
      <c r="D135" s="1" t="s">
        <v>98</v>
      </c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</row>
    <row r="136" spans="1:43" ht="20.100000000000001" customHeight="1" x14ac:dyDescent="0.5">
      <c r="A136" s="46"/>
      <c r="B136" s="239" t="s">
        <v>10</v>
      </c>
      <c r="C136" s="240"/>
      <c r="D136" s="241"/>
      <c r="E136" s="22">
        <f t="shared" ref="E136:F136" si="60">SUM(E127:E135)</f>
        <v>0</v>
      </c>
      <c r="F136" s="22">
        <f t="shared" si="60"/>
        <v>0</v>
      </c>
      <c r="G136" s="22">
        <f>SUM(G127:G135)</f>
        <v>0</v>
      </c>
      <c r="H136" s="22">
        <f t="shared" ref="H136:AQ136" si="61">SUM(H127:H135)</f>
        <v>0</v>
      </c>
      <c r="I136" s="22">
        <f t="shared" si="61"/>
        <v>0</v>
      </c>
      <c r="J136" s="22">
        <f t="shared" si="61"/>
        <v>0</v>
      </c>
      <c r="K136" s="22">
        <f t="shared" si="61"/>
        <v>0</v>
      </c>
      <c r="L136" s="22">
        <f t="shared" si="61"/>
        <v>0</v>
      </c>
      <c r="M136" s="22">
        <f t="shared" si="61"/>
        <v>0</v>
      </c>
      <c r="N136" s="22">
        <f t="shared" si="61"/>
        <v>0</v>
      </c>
      <c r="O136" s="22">
        <f t="shared" si="61"/>
        <v>0</v>
      </c>
      <c r="P136" s="22">
        <f t="shared" si="61"/>
        <v>0</v>
      </c>
      <c r="Q136" s="22">
        <f t="shared" si="61"/>
        <v>0</v>
      </c>
      <c r="R136" s="22">
        <f t="shared" si="61"/>
        <v>0</v>
      </c>
      <c r="S136" s="22">
        <f t="shared" si="61"/>
        <v>0</v>
      </c>
      <c r="T136" s="22">
        <f t="shared" si="61"/>
        <v>0</v>
      </c>
      <c r="U136" s="22">
        <f t="shared" si="61"/>
        <v>0</v>
      </c>
      <c r="V136" s="22">
        <f t="shared" si="61"/>
        <v>0</v>
      </c>
      <c r="W136" s="22">
        <f t="shared" si="61"/>
        <v>0</v>
      </c>
      <c r="X136" s="22">
        <f t="shared" si="61"/>
        <v>0</v>
      </c>
      <c r="Y136" s="22">
        <f t="shared" si="61"/>
        <v>0</v>
      </c>
      <c r="Z136" s="22">
        <f t="shared" si="61"/>
        <v>0</v>
      </c>
      <c r="AA136" s="22">
        <f t="shared" si="61"/>
        <v>0</v>
      </c>
      <c r="AB136" s="22">
        <f t="shared" si="61"/>
        <v>0</v>
      </c>
      <c r="AC136" s="22">
        <f t="shared" si="61"/>
        <v>0</v>
      </c>
      <c r="AD136" s="22">
        <f t="shared" si="61"/>
        <v>0</v>
      </c>
      <c r="AE136" s="22">
        <f t="shared" si="61"/>
        <v>0</v>
      </c>
      <c r="AF136" s="22">
        <f t="shared" si="61"/>
        <v>0</v>
      </c>
      <c r="AG136" s="22">
        <f t="shared" si="61"/>
        <v>0</v>
      </c>
      <c r="AH136" s="22">
        <f t="shared" si="61"/>
        <v>0</v>
      </c>
      <c r="AI136" s="22">
        <f t="shared" si="61"/>
        <v>0</v>
      </c>
      <c r="AJ136" s="22">
        <f t="shared" si="61"/>
        <v>0</v>
      </c>
      <c r="AK136" s="22">
        <f t="shared" si="61"/>
        <v>0</v>
      </c>
      <c r="AL136" s="22">
        <f t="shared" si="61"/>
        <v>0</v>
      </c>
      <c r="AM136" s="22">
        <f t="shared" si="61"/>
        <v>0</v>
      </c>
      <c r="AN136" s="22">
        <f t="shared" si="61"/>
        <v>0</v>
      </c>
      <c r="AO136" s="22">
        <f t="shared" si="61"/>
        <v>0</v>
      </c>
      <c r="AP136" s="22">
        <f t="shared" si="61"/>
        <v>0</v>
      </c>
      <c r="AQ136" s="22">
        <f t="shared" si="61"/>
        <v>0</v>
      </c>
    </row>
    <row r="137" spans="1:43" s="44" customFormat="1" ht="20.100000000000001" customHeight="1" x14ac:dyDescent="0.5">
      <c r="A137" s="45"/>
      <c r="B137" s="242" t="s">
        <v>49</v>
      </c>
      <c r="C137" s="243"/>
      <c r="D137" s="244"/>
      <c r="E137" s="38">
        <f t="shared" ref="E137:F137" si="62">E125+E136</f>
        <v>0</v>
      </c>
      <c r="F137" s="38">
        <f t="shared" si="62"/>
        <v>0</v>
      </c>
      <c r="G137" s="38">
        <f>G125+G136</f>
        <v>0</v>
      </c>
      <c r="H137" s="38">
        <f t="shared" ref="H137" si="63">H125+H136</f>
        <v>0</v>
      </c>
      <c r="I137" s="38"/>
      <c r="J137" s="37">
        <f t="shared" ref="J137:K137" si="64">J125+J136</f>
        <v>0</v>
      </c>
      <c r="K137" s="38">
        <f t="shared" si="64"/>
        <v>0</v>
      </c>
      <c r="L137" s="38">
        <f>L125+L136</f>
        <v>0</v>
      </c>
      <c r="M137" s="94">
        <f t="shared" ref="M137:T137" si="65">M125+M136</f>
        <v>0</v>
      </c>
      <c r="N137" s="38">
        <f t="shared" si="65"/>
        <v>0</v>
      </c>
      <c r="O137" s="38">
        <f t="shared" si="65"/>
        <v>0</v>
      </c>
      <c r="P137" s="38">
        <f t="shared" si="65"/>
        <v>0</v>
      </c>
      <c r="Q137" s="38">
        <f t="shared" si="65"/>
        <v>0</v>
      </c>
      <c r="R137" s="38">
        <f t="shared" si="65"/>
        <v>0</v>
      </c>
      <c r="S137" s="37">
        <f t="shared" si="65"/>
        <v>0</v>
      </c>
      <c r="T137" s="38">
        <f t="shared" si="65"/>
        <v>0</v>
      </c>
      <c r="U137" s="38"/>
      <c r="V137" s="37">
        <f t="shared" ref="V137:Z137" si="66">V125+V136</f>
        <v>0</v>
      </c>
      <c r="W137" s="38">
        <f t="shared" si="66"/>
        <v>0</v>
      </c>
      <c r="X137" s="38">
        <f t="shared" si="66"/>
        <v>0</v>
      </c>
      <c r="Y137" s="37">
        <f t="shared" si="66"/>
        <v>0</v>
      </c>
      <c r="Z137" s="38">
        <f t="shared" si="66"/>
        <v>0</v>
      </c>
      <c r="AA137" s="38"/>
      <c r="AB137" s="37">
        <f t="shared" ref="AB137:AC137" si="67">AB125+AB136</f>
        <v>0</v>
      </c>
      <c r="AC137" s="38">
        <f t="shared" si="67"/>
        <v>0</v>
      </c>
      <c r="AD137" s="38"/>
      <c r="AE137" s="37">
        <f t="shared" ref="AE137:AF137" si="68">AE125+AE136</f>
        <v>0</v>
      </c>
      <c r="AF137" s="38">
        <f t="shared" si="68"/>
        <v>0</v>
      </c>
      <c r="AG137" s="38"/>
      <c r="AH137" s="37">
        <f t="shared" ref="AH137:AI137" si="69">AH125+AH136</f>
        <v>0</v>
      </c>
      <c r="AI137" s="38">
        <f t="shared" si="69"/>
        <v>0</v>
      </c>
      <c r="AJ137" s="38"/>
      <c r="AK137" s="37">
        <f t="shared" ref="AK137:AL137" si="70">AK125+AK136</f>
        <v>0</v>
      </c>
      <c r="AL137" s="38">
        <f t="shared" si="70"/>
        <v>0</v>
      </c>
      <c r="AM137" s="38"/>
      <c r="AN137" s="37">
        <f t="shared" ref="AN137:AO137" si="71">AN125+AN136</f>
        <v>0</v>
      </c>
      <c r="AO137" s="38">
        <f t="shared" si="71"/>
        <v>0</v>
      </c>
      <c r="AP137" s="38"/>
      <c r="AQ137" s="37">
        <f t="shared" ref="AQ137" si="72">AQ125+AQ136</f>
        <v>0</v>
      </c>
    </row>
  </sheetData>
  <mergeCells count="60">
    <mergeCell ref="AO27:AQ27"/>
    <mergeCell ref="AI3:AK3"/>
    <mergeCell ref="AL3:AN3"/>
    <mergeCell ref="B19:D19"/>
    <mergeCell ref="B20:D20"/>
    <mergeCell ref="AO3:AQ3"/>
    <mergeCell ref="T3:V3"/>
    <mergeCell ref="W3:Y3"/>
    <mergeCell ref="Z3:AB3"/>
    <mergeCell ref="AC3:AE3"/>
    <mergeCell ref="AF3:AH3"/>
    <mergeCell ref="E3:G3"/>
    <mergeCell ref="H3:J3"/>
    <mergeCell ref="K3:M3"/>
    <mergeCell ref="N3:P3"/>
    <mergeCell ref="Q3:S3"/>
    <mergeCell ref="B8:D8"/>
    <mergeCell ref="A3:A4"/>
    <mergeCell ref="B3:B4"/>
    <mergeCell ref="C3:C4"/>
    <mergeCell ref="D3:D4"/>
    <mergeCell ref="T27:V27"/>
    <mergeCell ref="B78:D78"/>
    <mergeCell ref="AF27:AH27"/>
    <mergeCell ref="AI27:AK27"/>
    <mergeCell ref="AL27:AN27"/>
    <mergeCell ref="E27:G27"/>
    <mergeCell ref="H27:J27"/>
    <mergeCell ref="K27:M27"/>
    <mergeCell ref="N27:P27"/>
    <mergeCell ref="Q27:S27"/>
    <mergeCell ref="W27:Y27"/>
    <mergeCell ref="Z27:AB27"/>
    <mergeCell ref="AC27:AE27"/>
    <mergeCell ref="B67:D67"/>
    <mergeCell ref="B79:D79"/>
    <mergeCell ref="A27:A28"/>
    <mergeCell ref="B27:B28"/>
    <mergeCell ref="C27:C28"/>
    <mergeCell ref="D27:D28"/>
    <mergeCell ref="A85:A86"/>
    <mergeCell ref="B85:B86"/>
    <mergeCell ref="C85:C86"/>
    <mergeCell ref="D85:D86"/>
    <mergeCell ref="E85:G85"/>
    <mergeCell ref="AL85:AN85"/>
    <mergeCell ref="AO85:AQ85"/>
    <mergeCell ref="B125:D125"/>
    <mergeCell ref="B136:D136"/>
    <mergeCell ref="B137:D137"/>
    <mergeCell ref="W85:Y85"/>
    <mergeCell ref="Z85:AB85"/>
    <mergeCell ref="AC85:AE85"/>
    <mergeCell ref="AF85:AH85"/>
    <mergeCell ref="AI85:AK85"/>
    <mergeCell ref="H85:J85"/>
    <mergeCell ref="K85:M85"/>
    <mergeCell ref="N85:P85"/>
    <mergeCell ref="Q85:S85"/>
    <mergeCell ref="T85:V8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78C9-60C0-4E60-87AE-3B7B942CDA46}">
  <sheetPr>
    <tabColor rgb="FFFF0000"/>
  </sheetPr>
  <dimension ref="A1:AQ126"/>
  <sheetViews>
    <sheetView workbookViewId="0">
      <pane xSplit="4" ySplit="14" topLeftCell="E73" activePane="bottomRight" state="frozen"/>
      <selection activeCell="B15" sqref="B15"/>
      <selection pane="topRight" activeCell="B15" sqref="B15"/>
      <selection pane="bottomLeft" activeCell="B15" sqref="B15"/>
      <selection pane="bottomRight" activeCell="E94" sqref="E94:AN103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bestFit="1" customWidth="1"/>
    <col min="7" max="7" width="8.5703125" style="42" bestFit="1" customWidth="1"/>
    <col min="8" max="41" width="6.7109375" style="42" customWidth="1"/>
    <col min="42" max="16384" width="9.7109375" style="42"/>
  </cols>
  <sheetData>
    <row r="1" spans="1:43" x14ac:dyDescent="0.5">
      <c r="B1" s="41" t="s">
        <v>140</v>
      </c>
    </row>
    <row r="3" spans="1:43" x14ac:dyDescent="0.5">
      <c r="A3" s="245" t="s">
        <v>52</v>
      </c>
      <c r="B3" s="245" t="s">
        <v>51</v>
      </c>
      <c r="C3" s="247" t="s">
        <v>117</v>
      </c>
      <c r="D3" s="247" t="s">
        <v>95</v>
      </c>
      <c r="E3" s="236" t="s">
        <v>19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5">
      <c r="A4" s="246"/>
      <c r="B4" s="246"/>
      <c r="C4" s="248"/>
      <c r="D4" s="248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5">
      <c r="A5" s="28">
        <v>1</v>
      </c>
      <c r="B5" s="1" t="s">
        <v>83</v>
      </c>
      <c r="C5" s="30">
        <v>1</v>
      </c>
      <c r="D5" s="30" t="s">
        <v>96</v>
      </c>
      <c r="E5" s="29"/>
      <c r="F5" s="29"/>
      <c r="G5" s="29">
        <f>F5*C5</f>
        <v>0</v>
      </c>
      <c r="H5" s="29">
        <v>200</v>
      </c>
      <c r="I5" s="29">
        <v>2400</v>
      </c>
      <c r="J5" s="29">
        <f>I5*C5</f>
        <v>2400</v>
      </c>
      <c r="K5" s="29">
        <v>200</v>
      </c>
      <c r="L5" s="29">
        <v>2400</v>
      </c>
      <c r="M5" s="29">
        <f>L5*C5</f>
        <v>2400</v>
      </c>
      <c r="N5" s="29"/>
      <c r="O5" s="29"/>
      <c r="P5" s="29">
        <f>O5*C5</f>
        <v>0</v>
      </c>
      <c r="Q5" s="29"/>
      <c r="R5" s="29"/>
      <c r="S5" s="29">
        <f>R5*C5</f>
        <v>0</v>
      </c>
      <c r="T5" s="29">
        <v>100</v>
      </c>
      <c r="U5" s="29">
        <v>1200</v>
      </c>
      <c r="V5" s="29">
        <f>U5*C5</f>
        <v>1200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>
        <f t="shared" ref="AO5:AQ5" si="0">E5+H5+K5+N5+Q5+T5+W5+Z5+AC5+AF5+AI5+AL5</f>
        <v>500</v>
      </c>
      <c r="AP5" s="29">
        <f t="shared" si="0"/>
        <v>6000</v>
      </c>
      <c r="AQ5" s="29">
        <f t="shared" si="0"/>
        <v>6000</v>
      </c>
    </row>
    <row r="6" spans="1:43" x14ac:dyDescent="0.5">
      <c r="A6" s="28">
        <v>2</v>
      </c>
      <c r="B6" s="1" t="s">
        <v>88</v>
      </c>
      <c r="C6" s="30">
        <v>0.64</v>
      </c>
      <c r="D6" s="30" t="s">
        <v>99</v>
      </c>
      <c r="E6" s="29"/>
      <c r="F6" s="29"/>
      <c r="G6" s="29">
        <f t="shared" ref="G6:G7" si="1">F6*C6</f>
        <v>0</v>
      </c>
      <c r="H6" s="29">
        <v>70</v>
      </c>
      <c r="I6" s="29">
        <v>980</v>
      </c>
      <c r="J6" s="29">
        <f t="shared" ref="J6:J7" si="2">I6*C6</f>
        <v>627.20000000000005</v>
      </c>
      <c r="K6" s="29"/>
      <c r="L6" s="29"/>
      <c r="M6" s="29">
        <f t="shared" ref="M6:M7" si="3">L6*C6</f>
        <v>0</v>
      </c>
      <c r="N6" s="29"/>
      <c r="O6" s="29"/>
      <c r="P6" s="29">
        <f t="shared" ref="P6:P7" si="4">O6*C6</f>
        <v>0</v>
      </c>
      <c r="Q6" s="29">
        <v>50</v>
      </c>
      <c r="R6" s="29">
        <v>700</v>
      </c>
      <c r="S6" s="29">
        <f t="shared" ref="S6:S7" si="5">R6*C6</f>
        <v>448</v>
      </c>
      <c r="T6" s="29"/>
      <c r="U6" s="29"/>
      <c r="V6" s="29">
        <f t="shared" ref="V6:V7" si="6">U6*C6</f>
        <v>0</v>
      </c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>
        <f>AG6*C6</f>
        <v>0</v>
      </c>
      <c r="AI6" s="29"/>
      <c r="AJ6" s="29"/>
      <c r="AK6" s="29"/>
      <c r="AL6" s="29"/>
      <c r="AM6" s="29"/>
      <c r="AN6" s="29"/>
      <c r="AO6" s="29">
        <f t="shared" ref="AO6:AO7" si="7">E6+H6+K6+N6+Q6+T6+W6+Z6+AC6+AF6+AI6+AL6</f>
        <v>120</v>
      </c>
      <c r="AP6" s="29">
        <f t="shared" ref="AP6:AP7" si="8">F6+I6+L6+O6+R6+U6+X6+AA6+AD6+AG6+AJ6+AM6</f>
        <v>1680</v>
      </c>
      <c r="AQ6" s="29">
        <f t="shared" ref="AQ6:AQ7" si="9">G6+J6+M6+P6+S6+V6+Y6+AB6+AE6+AH6+AK6+AN6</f>
        <v>1075.2</v>
      </c>
    </row>
    <row r="7" spans="1:43" x14ac:dyDescent="0.5">
      <c r="A7" s="28">
        <v>3</v>
      </c>
      <c r="B7" s="1" t="s">
        <v>80</v>
      </c>
      <c r="C7" s="30">
        <v>0.64</v>
      </c>
      <c r="D7" s="1" t="s">
        <v>99</v>
      </c>
      <c r="E7" s="84"/>
      <c r="F7" s="84"/>
      <c r="G7" s="29">
        <f t="shared" si="1"/>
        <v>0</v>
      </c>
      <c r="H7" s="84">
        <v>30</v>
      </c>
      <c r="I7" s="84">
        <v>420</v>
      </c>
      <c r="J7" s="29">
        <f t="shared" si="2"/>
        <v>268.8</v>
      </c>
      <c r="K7" s="84"/>
      <c r="L7" s="84"/>
      <c r="M7" s="29">
        <f t="shared" si="3"/>
        <v>0</v>
      </c>
      <c r="N7" s="84"/>
      <c r="O7" s="84"/>
      <c r="P7" s="29">
        <f t="shared" si="4"/>
        <v>0</v>
      </c>
      <c r="Q7" s="84"/>
      <c r="R7" s="84"/>
      <c r="S7" s="29">
        <f t="shared" si="5"/>
        <v>0</v>
      </c>
      <c r="T7" s="84">
        <v>100</v>
      </c>
      <c r="U7" s="84">
        <v>1400</v>
      </c>
      <c r="V7" s="29">
        <f t="shared" si="6"/>
        <v>896</v>
      </c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29">
        <f t="shared" si="7"/>
        <v>130</v>
      </c>
      <c r="AP7" s="29">
        <f t="shared" si="8"/>
        <v>1820</v>
      </c>
      <c r="AQ7" s="29">
        <f t="shared" si="9"/>
        <v>1164.8</v>
      </c>
    </row>
    <row r="8" spans="1:43" x14ac:dyDescent="0.5">
      <c r="A8" s="24"/>
      <c r="B8" s="239" t="s">
        <v>10</v>
      </c>
      <c r="C8" s="240"/>
      <c r="D8" s="241"/>
      <c r="E8" s="22">
        <f>SUM(E5:E7)</f>
        <v>0</v>
      </c>
      <c r="F8" s="22">
        <f t="shared" ref="F8:AQ8" si="10">SUM(F5:F7)</f>
        <v>0</v>
      </c>
      <c r="G8" s="22">
        <f t="shared" si="10"/>
        <v>0</v>
      </c>
      <c r="H8" s="22">
        <f t="shared" si="10"/>
        <v>300</v>
      </c>
      <c r="I8" s="22">
        <f t="shared" si="10"/>
        <v>3800</v>
      </c>
      <c r="J8" s="22">
        <f t="shared" si="10"/>
        <v>3296</v>
      </c>
      <c r="K8" s="22">
        <f t="shared" si="10"/>
        <v>200</v>
      </c>
      <c r="L8" s="22">
        <f t="shared" si="10"/>
        <v>2400</v>
      </c>
      <c r="M8" s="22">
        <f t="shared" si="10"/>
        <v>2400</v>
      </c>
      <c r="N8" s="22">
        <f t="shared" si="10"/>
        <v>0</v>
      </c>
      <c r="O8" s="22">
        <f t="shared" si="10"/>
        <v>0</v>
      </c>
      <c r="P8" s="22">
        <f t="shared" si="10"/>
        <v>0</v>
      </c>
      <c r="Q8" s="22">
        <f t="shared" si="10"/>
        <v>50</v>
      </c>
      <c r="R8" s="22">
        <f t="shared" si="10"/>
        <v>700</v>
      </c>
      <c r="S8" s="22">
        <f t="shared" si="10"/>
        <v>448</v>
      </c>
      <c r="T8" s="22">
        <f t="shared" si="10"/>
        <v>200</v>
      </c>
      <c r="U8" s="22">
        <f t="shared" si="10"/>
        <v>2600</v>
      </c>
      <c r="V8" s="22">
        <f t="shared" si="10"/>
        <v>2096</v>
      </c>
      <c r="W8" s="22">
        <f t="shared" si="10"/>
        <v>0</v>
      </c>
      <c r="X8" s="22">
        <f t="shared" si="10"/>
        <v>0</v>
      </c>
      <c r="Y8" s="22">
        <f t="shared" si="10"/>
        <v>0</v>
      </c>
      <c r="Z8" s="22">
        <f t="shared" si="10"/>
        <v>0</v>
      </c>
      <c r="AA8" s="22">
        <f t="shared" si="10"/>
        <v>0</v>
      </c>
      <c r="AB8" s="22">
        <f t="shared" si="10"/>
        <v>0</v>
      </c>
      <c r="AC8" s="22">
        <f t="shared" si="10"/>
        <v>0</v>
      </c>
      <c r="AD8" s="22">
        <f t="shared" si="10"/>
        <v>0</v>
      </c>
      <c r="AE8" s="22">
        <f t="shared" si="10"/>
        <v>0</v>
      </c>
      <c r="AF8" s="22">
        <f t="shared" si="10"/>
        <v>0</v>
      </c>
      <c r="AG8" s="22">
        <f t="shared" si="10"/>
        <v>0</v>
      </c>
      <c r="AH8" s="22">
        <f t="shared" si="10"/>
        <v>0</v>
      </c>
      <c r="AI8" s="22">
        <f t="shared" si="10"/>
        <v>0</v>
      </c>
      <c r="AJ8" s="22">
        <f t="shared" si="10"/>
        <v>0</v>
      </c>
      <c r="AK8" s="22">
        <f t="shared" si="10"/>
        <v>0</v>
      </c>
      <c r="AL8" s="22">
        <f t="shared" si="10"/>
        <v>0</v>
      </c>
      <c r="AM8" s="22">
        <f t="shared" si="10"/>
        <v>0</v>
      </c>
      <c r="AN8" s="22">
        <f t="shared" si="10"/>
        <v>0</v>
      </c>
      <c r="AO8" s="22">
        <f t="shared" si="10"/>
        <v>750</v>
      </c>
      <c r="AP8" s="22">
        <f t="shared" si="10"/>
        <v>9500</v>
      </c>
      <c r="AQ8" s="22">
        <f t="shared" si="10"/>
        <v>8240</v>
      </c>
    </row>
    <row r="11" spans="1:43" ht="25.15" customHeight="1" x14ac:dyDescent="0.5">
      <c r="B11" s="41" t="s">
        <v>66</v>
      </c>
    </row>
    <row r="12" spans="1:43" ht="15" customHeight="1" x14ac:dyDescent="0.5"/>
    <row r="13" spans="1:43" ht="42.75" customHeight="1" x14ac:dyDescent="0.5">
      <c r="A13" s="245" t="s">
        <v>52</v>
      </c>
      <c r="B13" s="245" t="s">
        <v>51</v>
      </c>
      <c r="C13" s="247" t="s">
        <v>117</v>
      </c>
      <c r="D13" s="247" t="s">
        <v>95</v>
      </c>
      <c r="E13" s="236" t="s">
        <v>19</v>
      </c>
      <c r="F13" s="237"/>
      <c r="G13" s="238"/>
      <c r="H13" s="236" t="s">
        <v>58</v>
      </c>
      <c r="I13" s="237"/>
      <c r="J13" s="238"/>
      <c r="K13" s="236" t="s">
        <v>59</v>
      </c>
      <c r="L13" s="237"/>
      <c r="M13" s="238"/>
      <c r="N13" s="236" t="s">
        <v>60</v>
      </c>
      <c r="O13" s="237"/>
      <c r="P13" s="238"/>
      <c r="Q13" s="236" t="s">
        <v>61</v>
      </c>
      <c r="R13" s="237"/>
      <c r="S13" s="238"/>
      <c r="T13" s="236" t="s">
        <v>62</v>
      </c>
      <c r="U13" s="237"/>
      <c r="V13" s="238"/>
      <c r="W13" s="236" t="s">
        <v>63</v>
      </c>
      <c r="X13" s="237"/>
      <c r="Y13" s="238"/>
      <c r="Z13" s="236" t="s">
        <v>64</v>
      </c>
      <c r="AA13" s="237"/>
      <c r="AB13" s="238"/>
      <c r="AC13" s="236" t="s">
        <v>65</v>
      </c>
      <c r="AD13" s="237"/>
      <c r="AE13" s="238"/>
      <c r="AF13" s="236" t="s">
        <v>18</v>
      </c>
      <c r="AG13" s="237"/>
      <c r="AH13" s="238"/>
      <c r="AI13" s="236" t="s">
        <v>17</v>
      </c>
      <c r="AJ13" s="237"/>
      <c r="AK13" s="238"/>
      <c r="AL13" s="236" t="s">
        <v>16</v>
      </c>
      <c r="AM13" s="237"/>
      <c r="AN13" s="238"/>
      <c r="AO13" s="236" t="s">
        <v>10</v>
      </c>
      <c r="AP13" s="237"/>
      <c r="AQ13" s="238"/>
    </row>
    <row r="14" spans="1:43" ht="25.15" customHeight="1" x14ac:dyDescent="0.5">
      <c r="A14" s="246"/>
      <c r="B14" s="246"/>
      <c r="C14" s="248"/>
      <c r="D14" s="248"/>
      <c r="E14" s="40" t="s">
        <v>50</v>
      </c>
      <c r="F14" s="40" t="s">
        <v>56</v>
      </c>
      <c r="G14" s="40" t="s">
        <v>93</v>
      </c>
      <c r="H14" s="40" t="s">
        <v>50</v>
      </c>
      <c r="I14" s="40" t="s">
        <v>56</v>
      </c>
      <c r="J14" s="40" t="s">
        <v>57</v>
      </c>
      <c r="K14" s="40" t="s">
        <v>50</v>
      </c>
      <c r="L14" s="40" t="s">
        <v>56</v>
      </c>
      <c r="M14" s="40" t="s">
        <v>57</v>
      </c>
      <c r="N14" s="40" t="s">
        <v>50</v>
      </c>
      <c r="O14" s="40" t="s">
        <v>56</v>
      </c>
      <c r="P14" s="40" t="s">
        <v>57</v>
      </c>
      <c r="Q14" s="40" t="s">
        <v>50</v>
      </c>
      <c r="R14" s="40" t="s">
        <v>56</v>
      </c>
      <c r="S14" s="40" t="s">
        <v>57</v>
      </c>
      <c r="T14" s="40" t="s">
        <v>50</v>
      </c>
      <c r="U14" s="40" t="s">
        <v>56</v>
      </c>
      <c r="V14" s="40" t="s">
        <v>57</v>
      </c>
      <c r="W14" s="40" t="s">
        <v>50</v>
      </c>
      <c r="X14" s="40" t="s">
        <v>56</v>
      </c>
      <c r="Y14" s="40" t="s">
        <v>57</v>
      </c>
      <c r="Z14" s="40" t="s">
        <v>50</v>
      </c>
      <c r="AA14" s="40" t="s">
        <v>56</v>
      </c>
      <c r="AB14" s="40" t="s">
        <v>57</v>
      </c>
      <c r="AC14" s="40" t="s">
        <v>50</v>
      </c>
      <c r="AD14" s="40" t="s">
        <v>56</v>
      </c>
      <c r="AE14" s="40" t="s">
        <v>57</v>
      </c>
      <c r="AF14" s="40" t="s">
        <v>50</v>
      </c>
      <c r="AG14" s="40" t="s">
        <v>56</v>
      </c>
      <c r="AH14" s="40" t="s">
        <v>57</v>
      </c>
      <c r="AI14" s="40" t="s">
        <v>50</v>
      </c>
      <c r="AJ14" s="40" t="s">
        <v>56</v>
      </c>
      <c r="AK14" s="40" t="s">
        <v>57</v>
      </c>
      <c r="AL14" s="40" t="s">
        <v>50</v>
      </c>
      <c r="AM14" s="40" t="s">
        <v>56</v>
      </c>
      <c r="AN14" s="40" t="s">
        <v>57</v>
      </c>
      <c r="AO14" s="40" t="s">
        <v>50</v>
      </c>
      <c r="AP14" s="40" t="s">
        <v>56</v>
      </c>
      <c r="AQ14" s="40" t="s">
        <v>57</v>
      </c>
    </row>
    <row r="15" spans="1:43" s="43" customFormat="1" ht="25.15" hidden="1" customHeight="1" x14ac:dyDescent="0.5">
      <c r="A15" s="31">
        <v>1</v>
      </c>
      <c r="B15" s="1" t="s">
        <v>67</v>
      </c>
      <c r="C15" s="34">
        <v>0.7</v>
      </c>
      <c r="D15" s="34" t="s">
        <v>96</v>
      </c>
      <c r="E15" s="29"/>
      <c r="F15" s="29"/>
      <c r="G15" s="29">
        <f>F15*C15</f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s="43" customFormat="1" ht="25.15" hidden="1" customHeight="1" x14ac:dyDescent="0.5">
      <c r="A16" s="31">
        <v>2</v>
      </c>
      <c r="B16" s="1"/>
      <c r="C16" s="34"/>
      <c r="D16" s="34"/>
      <c r="E16" s="29"/>
      <c r="F16" s="29"/>
      <c r="G16" s="29">
        <f t="shared" ref="G16:G51" si="11">F16*C16</f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25.15" hidden="1" customHeight="1" x14ac:dyDescent="0.5">
      <c r="A17" s="31">
        <v>3</v>
      </c>
      <c r="B17" s="1" t="s">
        <v>68</v>
      </c>
      <c r="C17" s="30">
        <v>1</v>
      </c>
      <c r="D17" s="30" t="s">
        <v>96</v>
      </c>
      <c r="E17" s="28"/>
      <c r="F17" s="28"/>
      <c r="G17" s="29">
        <f t="shared" si="11"/>
        <v>0</v>
      </c>
      <c r="H17" s="28"/>
      <c r="I17" s="28"/>
      <c r="J17" s="29"/>
      <c r="K17" s="28"/>
      <c r="L17" s="28"/>
      <c r="M17" s="29"/>
      <c r="N17" s="28"/>
      <c r="O17" s="28"/>
      <c r="P17" s="29"/>
      <c r="Q17" s="28"/>
      <c r="R17" s="28"/>
      <c r="S17" s="29"/>
      <c r="T17" s="28"/>
      <c r="U17" s="28"/>
      <c r="V17" s="29"/>
      <c r="W17" s="28"/>
      <c r="X17" s="28"/>
      <c r="Y17" s="29"/>
      <c r="Z17" s="28"/>
      <c r="AA17" s="28"/>
      <c r="AB17" s="29"/>
      <c r="AC17" s="28"/>
      <c r="AD17" s="28"/>
      <c r="AE17" s="29"/>
      <c r="AF17" s="28"/>
      <c r="AG17" s="28"/>
      <c r="AH17" s="29"/>
      <c r="AI17" s="28"/>
      <c r="AJ17" s="28"/>
      <c r="AK17" s="29"/>
      <c r="AL17" s="28"/>
      <c r="AM17" s="28"/>
      <c r="AN17" s="29"/>
      <c r="AO17" s="28"/>
      <c r="AP17" s="28"/>
      <c r="AQ17" s="29"/>
    </row>
    <row r="18" spans="1:43" ht="25.15" hidden="1" customHeight="1" x14ac:dyDescent="0.5">
      <c r="A18" s="31">
        <v>4</v>
      </c>
      <c r="B18" s="1" t="s">
        <v>69</v>
      </c>
      <c r="C18" s="30">
        <v>1</v>
      </c>
      <c r="D18" s="30" t="s">
        <v>96</v>
      </c>
      <c r="E18" s="28"/>
      <c r="F18" s="28"/>
      <c r="G18" s="29">
        <f t="shared" si="11"/>
        <v>0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25.15" hidden="1" customHeight="1" x14ac:dyDescent="0.5">
      <c r="A19" s="31">
        <v>5</v>
      </c>
      <c r="B19" s="1" t="s">
        <v>70</v>
      </c>
      <c r="C19" s="30"/>
      <c r="D19" s="30"/>
      <c r="E19" s="28"/>
      <c r="F19" s="28"/>
      <c r="G19" s="29">
        <f t="shared" si="11"/>
        <v>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25.15" hidden="1" customHeight="1" x14ac:dyDescent="0.5">
      <c r="A20" s="31">
        <v>6</v>
      </c>
      <c r="B20" s="1" t="s">
        <v>71</v>
      </c>
      <c r="C20" s="30">
        <v>0.35</v>
      </c>
      <c r="D20" s="30" t="s">
        <v>97</v>
      </c>
      <c r="E20" s="28"/>
      <c r="F20" s="28"/>
      <c r="G20" s="29">
        <f t="shared" si="11"/>
        <v>0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ht="25.15" hidden="1" customHeight="1" x14ac:dyDescent="0.5">
      <c r="A21" s="31">
        <v>7</v>
      </c>
      <c r="B21" s="1" t="s">
        <v>72</v>
      </c>
      <c r="C21" s="30"/>
      <c r="D21" s="30"/>
      <c r="E21" s="28"/>
      <c r="F21" s="28"/>
      <c r="G21" s="29">
        <f t="shared" si="11"/>
        <v>0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ht="25.15" hidden="1" customHeight="1" x14ac:dyDescent="0.5">
      <c r="A22" s="31">
        <v>8</v>
      </c>
      <c r="B22" s="1" t="s">
        <v>73</v>
      </c>
      <c r="C22" s="30">
        <v>0.64</v>
      </c>
      <c r="D22" s="30" t="s">
        <v>99</v>
      </c>
      <c r="E22" s="28"/>
      <c r="F22" s="28"/>
      <c r="G22" s="29">
        <f t="shared" si="11"/>
        <v>0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ht="25.15" hidden="1" customHeight="1" x14ac:dyDescent="0.5">
      <c r="A23" s="31">
        <v>9</v>
      </c>
      <c r="B23" s="1" t="s">
        <v>73</v>
      </c>
      <c r="C23" s="30"/>
      <c r="D23" s="30"/>
      <c r="E23" s="28"/>
      <c r="F23" s="28"/>
      <c r="G23" s="29">
        <f t="shared" si="11"/>
        <v>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ht="25.15" hidden="1" customHeight="1" x14ac:dyDescent="0.5">
      <c r="A24" s="31">
        <v>10</v>
      </c>
      <c r="B24" s="1" t="s">
        <v>73</v>
      </c>
      <c r="C24" s="30"/>
      <c r="D24" s="30"/>
      <c r="E24" s="28"/>
      <c r="F24" s="28"/>
      <c r="G24" s="29">
        <f t="shared" si="11"/>
        <v>0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ht="25.15" hidden="1" customHeight="1" x14ac:dyDescent="0.5">
      <c r="A25" s="31">
        <v>11</v>
      </c>
      <c r="B25" s="1"/>
      <c r="C25" s="30"/>
      <c r="D25" s="30"/>
      <c r="E25" s="28"/>
      <c r="F25" s="28"/>
      <c r="G25" s="29">
        <f t="shared" si="11"/>
        <v>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ht="25.15" hidden="1" customHeight="1" x14ac:dyDescent="0.5">
      <c r="A26" s="31">
        <v>12</v>
      </c>
      <c r="B26" s="1" t="s">
        <v>74</v>
      </c>
      <c r="C26" s="30">
        <v>1</v>
      </c>
      <c r="D26" s="30" t="s">
        <v>96</v>
      </c>
      <c r="E26" s="28"/>
      <c r="F26" s="28"/>
      <c r="G26" s="29">
        <f t="shared" si="11"/>
        <v>0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ht="25.15" hidden="1" customHeight="1" x14ac:dyDescent="0.5">
      <c r="A27" s="31">
        <v>13</v>
      </c>
      <c r="B27" s="1" t="s">
        <v>75</v>
      </c>
      <c r="C27" s="30"/>
      <c r="D27" s="30"/>
      <c r="E27" s="28"/>
      <c r="F27" s="28"/>
      <c r="G27" s="29">
        <f t="shared" si="11"/>
        <v>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ht="25.15" hidden="1" customHeight="1" x14ac:dyDescent="0.5">
      <c r="A28" s="31">
        <v>14</v>
      </c>
      <c r="B28" s="1" t="s">
        <v>76</v>
      </c>
      <c r="C28" s="30"/>
      <c r="D28" s="30"/>
      <c r="E28" s="28"/>
      <c r="F28" s="28"/>
      <c r="G28" s="29">
        <f t="shared" si="11"/>
        <v>0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s="43" customFormat="1" ht="25.15" hidden="1" customHeight="1" x14ac:dyDescent="0.5">
      <c r="A29" s="31">
        <v>15</v>
      </c>
      <c r="B29" s="1" t="s">
        <v>77</v>
      </c>
      <c r="C29" s="34"/>
      <c r="D29" s="34"/>
      <c r="E29" s="29"/>
      <c r="F29" s="29"/>
      <c r="G29" s="29">
        <f t="shared" si="11"/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ht="25.15" hidden="1" customHeight="1" x14ac:dyDescent="0.5">
      <c r="A30" s="31">
        <v>16</v>
      </c>
      <c r="B30" s="1" t="s">
        <v>78</v>
      </c>
      <c r="C30" s="30"/>
      <c r="D30" s="30"/>
      <c r="E30" s="28"/>
      <c r="F30" s="28"/>
      <c r="G30" s="29">
        <f t="shared" si="11"/>
        <v>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ht="25.15" hidden="1" customHeight="1" x14ac:dyDescent="0.5">
      <c r="A31" s="31">
        <v>17</v>
      </c>
      <c r="B31" s="1" t="s">
        <v>79</v>
      </c>
      <c r="C31" s="30"/>
      <c r="D31" s="30"/>
      <c r="E31" s="28"/>
      <c r="F31" s="28"/>
      <c r="G31" s="29">
        <f t="shared" si="11"/>
        <v>0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ht="25.15" hidden="1" customHeight="1" x14ac:dyDescent="0.5">
      <c r="A32" s="31">
        <v>18</v>
      </c>
      <c r="B32" s="1" t="s">
        <v>80</v>
      </c>
      <c r="C32" s="30"/>
      <c r="D32" s="30"/>
      <c r="E32" s="28"/>
      <c r="F32" s="28"/>
      <c r="G32" s="29">
        <f t="shared" si="11"/>
        <v>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ht="24" hidden="1" customHeight="1" x14ac:dyDescent="0.5">
      <c r="A33" s="31">
        <v>19</v>
      </c>
      <c r="B33" s="1" t="s">
        <v>81</v>
      </c>
      <c r="C33" s="30"/>
      <c r="D33" s="30"/>
      <c r="E33" s="28"/>
      <c r="F33" s="28"/>
      <c r="G33" s="29">
        <f t="shared" si="11"/>
        <v>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</row>
    <row r="34" spans="1:43" ht="24" hidden="1" customHeight="1" x14ac:dyDescent="0.5">
      <c r="A34" s="31">
        <v>20</v>
      </c>
      <c r="B34" s="1" t="s">
        <v>82</v>
      </c>
      <c r="C34" s="30"/>
      <c r="D34" s="30"/>
      <c r="E34" s="28"/>
      <c r="F34" s="28"/>
      <c r="G34" s="29">
        <f t="shared" si="11"/>
        <v>0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</row>
    <row r="35" spans="1:43" ht="24" customHeight="1" x14ac:dyDescent="0.5">
      <c r="A35" s="28">
        <v>1</v>
      </c>
      <c r="B35" s="1" t="s">
        <v>83</v>
      </c>
      <c r="C35" s="30">
        <v>1</v>
      </c>
      <c r="D35" s="30" t="s">
        <v>96</v>
      </c>
      <c r="E35" s="28">
        <v>200</v>
      </c>
      <c r="F35" s="28">
        <v>2400</v>
      </c>
      <c r="G35" s="29">
        <f t="shared" si="11"/>
        <v>2400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>
        <v>200</v>
      </c>
      <c r="X35" s="28">
        <v>2400</v>
      </c>
      <c r="Y35" s="28">
        <f>X35*C35</f>
        <v>2400</v>
      </c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>
        <v>200</v>
      </c>
      <c r="AM35" s="28">
        <v>2400</v>
      </c>
      <c r="AN35" s="28">
        <v>2400</v>
      </c>
      <c r="AO35" s="28"/>
      <c r="AP35" s="28"/>
      <c r="AQ35" s="28"/>
    </row>
    <row r="36" spans="1:43" ht="24" hidden="1" customHeight="1" x14ac:dyDescent="0.5">
      <c r="A36" s="31">
        <v>22</v>
      </c>
      <c r="B36" s="1" t="s">
        <v>84</v>
      </c>
      <c r="C36" s="30">
        <v>1</v>
      </c>
      <c r="D36" s="30"/>
      <c r="E36" s="28"/>
      <c r="F36" s="28"/>
      <c r="G36" s="29">
        <f t="shared" si="11"/>
        <v>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>
        <f t="shared" ref="Y36:Y54" si="12">X36*C36</f>
        <v>0</v>
      </c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</row>
    <row r="37" spans="1:43" ht="24" hidden="1" customHeight="1" x14ac:dyDescent="0.5">
      <c r="A37" s="31">
        <v>23</v>
      </c>
      <c r="B37" s="1" t="s">
        <v>85</v>
      </c>
      <c r="C37" s="30">
        <v>1</v>
      </c>
      <c r="D37" s="30"/>
      <c r="E37" s="28"/>
      <c r="F37" s="28"/>
      <c r="G37" s="29">
        <f t="shared" si="11"/>
        <v>0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>
        <f t="shared" si="12"/>
        <v>0</v>
      </c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</row>
    <row r="38" spans="1:43" ht="24" hidden="1" customHeight="1" x14ac:dyDescent="0.5">
      <c r="A38" s="31">
        <v>24</v>
      </c>
      <c r="B38" s="1" t="s">
        <v>86</v>
      </c>
      <c r="C38" s="30">
        <v>1</v>
      </c>
      <c r="D38" s="30"/>
      <c r="E38" s="28"/>
      <c r="F38" s="28"/>
      <c r="G38" s="29">
        <f t="shared" si="11"/>
        <v>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>
        <f t="shared" si="12"/>
        <v>0</v>
      </c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</row>
    <row r="39" spans="1:43" ht="24" hidden="1" customHeight="1" x14ac:dyDescent="0.5">
      <c r="A39" s="31">
        <v>25</v>
      </c>
      <c r="B39" s="1" t="s">
        <v>87</v>
      </c>
      <c r="C39" s="30">
        <v>1</v>
      </c>
      <c r="D39" s="30"/>
      <c r="E39" s="28"/>
      <c r="F39" s="28"/>
      <c r="G39" s="29">
        <f t="shared" si="11"/>
        <v>0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>
        <f t="shared" si="12"/>
        <v>0</v>
      </c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</row>
    <row r="40" spans="1:43" ht="24" hidden="1" customHeight="1" x14ac:dyDescent="0.5">
      <c r="A40" s="31">
        <v>26</v>
      </c>
      <c r="B40" s="1" t="s">
        <v>88</v>
      </c>
      <c r="C40" s="30">
        <v>1</v>
      </c>
      <c r="D40" s="30"/>
      <c r="E40" s="28"/>
      <c r="F40" s="28"/>
      <c r="G40" s="29">
        <f t="shared" si="11"/>
        <v>0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>
        <f t="shared" si="12"/>
        <v>0</v>
      </c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</row>
    <row r="41" spans="1:43" ht="24" hidden="1" customHeight="1" x14ac:dyDescent="0.5">
      <c r="A41" s="31">
        <v>27</v>
      </c>
      <c r="B41" s="1" t="s">
        <v>89</v>
      </c>
      <c r="C41" s="30">
        <v>1</v>
      </c>
      <c r="D41" s="30"/>
      <c r="E41" s="28"/>
      <c r="F41" s="28"/>
      <c r="G41" s="29">
        <f t="shared" si="11"/>
        <v>0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>
        <f t="shared" si="12"/>
        <v>0</v>
      </c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ht="24" customHeight="1" x14ac:dyDescent="0.5">
      <c r="A42" s="31"/>
      <c r="B42" s="1" t="s">
        <v>146</v>
      </c>
      <c r="C42" s="30">
        <v>1</v>
      </c>
      <c r="D42" s="30" t="s">
        <v>135</v>
      </c>
      <c r="E42" s="28"/>
      <c r="F42" s="28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>
        <v>5</v>
      </c>
      <c r="X42" s="28">
        <v>60</v>
      </c>
      <c r="Y42" s="28">
        <f t="shared" si="12"/>
        <v>60</v>
      </c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ht="24" customHeight="1" x14ac:dyDescent="0.5">
      <c r="A43" s="31"/>
      <c r="B43" s="1" t="s">
        <v>147</v>
      </c>
      <c r="C43" s="30">
        <v>1</v>
      </c>
      <c r="D43" s="30" t="s">
        <v>135</v>
      </c>
      <c r="E43" s="28"/>
      <c r="F43" s="28"/>
      <c r="G43" s="29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>
        <v>5</v>
      </c>
      <c r="X43" s="28">
        <v>60</v>
      </c>
      <c r="Y43" s="28">
        <f t="shared" si="12"/>
        <v>60</v>
      </c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</row>
    <row r="44" spans="1:43" ht="24" customHeight="1" x14ac:dyDescent="0.5">
      <c r="A44" s="28">
        <v>2</v>
      </c>
      <c r="B44" s="1" t="s">
        <v>89</v>
      </c>
      <c r="C44" s="30">
        <v>0.64</v>
      </c>
      <c r="D44" s="30" t="s">
        <v>99</v>
      </c>
      <c r="E44" s="28"/>
      <c r="F44" s="28"/>
      <c r="G44" s="29">
        <f t="shared" si="11"/>
        <v>0</v>
      </c>
      <c r="H44" s="28">
        <v>10</v>
      </c>
      <c r="I44" s="28">
        <v>140</v>
      </c>
      <c r="J44" s="28">
        <f>I44*C44</f>
        <v>89.600000000000009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>
        <f t="shared" si="12"/>
        <v>0</v>
      </c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4" hidden="1" customHeight="1" x14ac:dyDescent="0.5">
      <c r="A45" s="31">
        <v>28</v>
      </c>
      <c r="B45" s="1" t="s">
        <v>88</v>
      </c>
      <c r="C45" s="30">
        <v>0.64</v>
      </c>
      <c r="D45" s="30" t="s">
        <v>99</v>
      </c>
      <c r="E45" s="28"/>
      <c r="F45" s="28"/>
      <c r="G45" s="29">
        <f t="shared" si="11"/>
        <v>0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>
        <f t="shared" si="12"/>
        <v>0</v>
      </c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4" hidden="1" customHeight="1" x14ac:dyDescent="0.5">
      <c r="A46" s="31">
        <v>29</v>
      </c>
      <c r="B46" s="1" t="s">
        <v>88</v>
      </c>
      <c r="C46" s="30">
        <v>0.64</v>
      </c>
      <c r="D46" s="30" t="s">
        <v>98</v>
      </c>
      <c r="E46" s="28"/>
      <c r="F46" s="28"/>
      <c r="G46" s="29">
        <f t="shared" si="11"/>
        <v>0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>
        <f t="shared" si="12"/>
        <v>0</v>
      </c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ht="24" hidden="1" customHeight="1" x14ac:dyDescent="0.5">
      <c r="A47" s="31">
        <v>30</v>
      </c>
      <c r="B47" s="1" t="s">
        <v>9</v>
      </c>
      <c r="C47" s="30">
        <v>0.64</v>
      </c>
      <c r="D47" s="30" t="s">
        <v>99</v>
      </c>
      <c r="E47" s="28"/>
      <c r="F47" s="28"/>
      <c r="G47" s="29">
        <f t="shared" si="11"/>
        <v>0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>
        <f t="shared" si="12"/>
        <v>0</v>
      </c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</row>
    <row r="48" spans="1:43" ht="24" hidden="1" customHeight="1" x14ac:dyDescent="0.5">
      <c r="A48" s="31">
        <v>31</v>
      </c>
      <c r="B48" s="30" t="s">
        <v>90</v>
      </c>
      <c r="C48" s="30">
        <v>1</v>
      </c>
      <c r="D48" s="30" t="s">
        <v>96</v>
      </c>
      <c r="E48" s="28"/>
      <c r="F48" s="28"/>
      <c r="G48" s="29">
        <f t="shared" si="11"/>
        <v>0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>
        <f t="shared" si="12"/>
        <v>0</v>
      </c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4" hidden="1" customHeight="1" x14ac:dyDescent="0.5">
      <c r="A49" s="31">
        <v>32</v>
      </c>
      <c r="B49" s="30" t="s">
        <v>91</v>
      </c>
      <c r="C49" s="30"/>
      <c r="D49" s="30"/>
      <c r="E49" s="28"/>
      <c r="F49" s="28"/>
      <c r="G49" s="29">
        <f t="shared" si="11"/>
        <v>0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>
        <f t="shared" si="12"/>
        <v>0</v>
      </c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</row>
    <row r="50" spans="1:43" ht="24" hidden="1" customHeight="1" x14ac:dyDescent="0.5">
      <c r="A50" s="31">
        <v>33</v>
      </c>
      <c r="B50" s="30" t="s">
        <v>91</v>
      </c>
      <c r="C50" s="30"/>
      <c r="D50" s="30"/>
      <c r="E50" s="28"/>
      <c r="F50" s="28"/>
      <c r="G50" s="29">
        <f t="shared" si="11"/>
        <v>0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>
        <f t="shared" si="12"/>
        <v>0</v>
      </c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</row>
    <row r="51" spans="1:43" ht="24" hidden="1" customHeight="1" x14ac:dyDescent="0.5">
      <c r="A51" s="31">
        <v>34</v>
      </c>
      <c r="B51" s="30" t="s">
        <v>92</v>
      </c>
      <c r="C51" s="30">
        <v>0.64</v>
      </c>
      <c r="D51" s="30" t="s">
        <v>98</v>
      </c>
      <c r="E51" s="28"/>
      <c r="F51" s="28"/>
      <c r="G51" s="29">
        <f t="shared" si="11"/>
        <v>0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>
        <f t="shared" si="12"/>
        <v>0</v>
      </c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</row>
    <row r="52" spans="1:43" ht="24" hidden="1" customHeight="1" x14ac:dyDescent="0.5">
      <c r="A52" s="31">
        <v>35</v>
      </c>
      <c r="B52" s="30"/>
      <c r="C52" s="30"/>
      <c r="D52" s="30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>
        <f t="shared" si="12"/>
        <v>0</v>
      </c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ht="24" hidden="1" customHeight="1" x14ac:dyDescent="0.5">
      <c r="A53" s="31">
        <v>36</v>
      </c>
      <c r="B53" s="30"/>
      <c r="C53" s="30"/>
      <c r="D53" s="30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>
        <f t="shared" si="12"/>
        <v>0</v>
      </c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</row>
    <row r="54" spans="1:43" ht="24" hidden="1" customHeight="1" x14ac:dyDescent="0.5">
      <c r="A54" s="31">
        <v>37</v>
      </c>
      <c r="B54" s="30"/>
      <c r="C54" s="30"/>
      <c r="D54" s="30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>
        <f t="shared" si="12"/>
        <v>0</v>
      </c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s="41" customFormat="1" ht="24" customHeight="1" x14ac:dyDescent="0.5">
      <c r="A55" s="24"/>
      <c r="B55" s="239" t="s">
        <v>10</v>
      </c>
      <c r="C55" s="240"/>
      <c r="D55" s="241"/>
      <c r="E55" s="22">
        <f>SUM(E15:E54)</f>
        <v>200</v>
      </c>
      <c r="F55" s="22">
        <f t="shared" ref="F55:AN55" si="13">SUM(F15:F54)</f>
        <v>2400</v>
      </c>
      <c r="G55" s="22">
        <f>SUM(G15:G54)</f>
        <v>2400</v>
      </c>
      <c r="H55" s="22">
        <f t="shared" si="13"/>
        <v>10</v>
      </c>
      <c r="I55" s="22">
        <f t="shared" si="13"/>
        <v>140</v>
      </c>
      <c r="J55" s="22">
        <f>SUM(J15:J54)</f>
        <v>89.600000000000009</v>
      </c>
      <c r="K55" s="22">
        <f t="shared" si="13"/>
        <v>0</v>
      </c>
      <c r="L55" s="22">
        <f t="shared" si="13"/>
        <v>0</v>
      </c>
      <c r="M55" s="22">
        <f t="shared" si="13"/>
        <v>0</v>
      </c>
      <c r="N55" s="22">
        <f t="shared" si="13"/>
        <v>0</v>
      </c>
      <c r="O55" s="22">
        <f t="shared" si="13"/>
        <v>0</v>
      </c>
      <c r="P55" s="22">
        <f t="shared" si="13"/>
        <v>0</v>
      </c>
      <c r="Q55" s="22">
        <f t="shared" si="13"/>
        <v>0</v>
      </c>
      <c r="R55" s="22">
        <f t="shared" si="13"/>
        <v>0</v>
      </c>
      <c r="S55" s="22">
        <f t="shared" si="13"/>
        <v>0</v>
      </c>
      <c r="T55" s="22">
        <f t="shared" si="13"/>
        <v>0</v>
      </c>
      <c r="U55" s="22">
        <f t="shared" si="13"/>
        <v>0</v>
      </c>
      <c r="V55" s="22">
        <f t="shared" si="13"/>
        <v>0</v>
      </c>
      <c r="W55" s="22">
        <f t="shared" si="13"/>
        <v>210</v>
      </c>
      <c r="X55" s="22">
        <f t="shared" si="13"/>
        <v>2520</v>
      </c>
      <c r="Y55" s="22">
        <f t="shared" si="13"/>
        <v>2520</v>
      </c>
      <c r="Z55" s="22">
        <f t="shared" si="13"/>
        <v>0</v>
      </c>
      <c r="AA55" s="22">
        <f t="shared" si="13"/>
        <v>0</v>
      </c>
      <c r="AB55" s="22">
        <f t="shared" si="13"/>
        <v>0</v>
      </c>
      <c r="AC55" s="22">
        <f t="shared" si="13"/>
        <v>0</v>
      </c>
      <c r="AD55" s="22">
        <f t="shared" si="13"/>
        <v>0</v>
      </c>
      <c r="AE55" s="22">
        <f t="shared" si="13"/>
        <v>0</v>
      </c>
      <c r="AF55" s="22">
        <f t="shared" si="13"/>
        <v>0</v>
      </c>
      <c r="AG55" s="22">
        <f t="shared" si="13"/>
        <v>0</v>
      </c>
      <c r="AH55" s="22">
        <f t="shared" si="13"/>
        <v>0</v>
      </c>
      <c r="AI55" s="22">
        <f t="shared" si="13"/>
        <v>0</v>
      </c>
      <c r="AJ55" s="22">
        <f t="shared" si="13"/>
        <v>0</v>
      </c>
      <c r="AK55" s="22">
        <f t="shared" si="13"/>
        <v>0</v>
      </c>
      <c r="AL55" s="22">
        <f t="shared" si="13"/>
        <v>200</v>
      </c>
      <c r="AM55" s="22">
        <f t="shared" si="13"/>
        <v>2400</v>
      </c>
      <c r="AN55" s="22">
        <f t="shared" si="13"/>
        <v>2400</v>
      </c>
      <c r="AO55" s="22">
        <f t="shared" ref="AO55:AQ55" si="14">SUM(AO15:AO54)</f>
        <v>0</v>
      </c>
      <c r="AP55" s="22">
        <f t="shared" si="14"/>
        <v>0</v>
      </c>
      <c r="AQ55" s="22">
        <f t="shared" si="14"/>
        <v>0</v>
      </c>
    </row>
    <row r="56" spans="1:43" ht="24" hidden="1" customHeight="1" x14ac:dyDescent="0.5">
      <c r="A56" s="39"/>
      <c r="B56" s="30"/>
      <c r="C56" s="30"/>
      <c r="D56" s="30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</row>
    <row r="57" spans="1:43" ht="25.15" hidden="1" customHeight="1" x14ac:dyDescent="0.5">
      <c r="A57" s="39">
        <v>1</v>
      </c>
      <c r="B57" s="30" t="s">
        <v>6</v>
      </c>
      <c r="C57" s="1">
        <v>0.7</v>
      </c>
      <c r="D57" s="1" t="s">
        <v>96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</row>
    <row r="58" spans="1:43" ht="25.15" hidden="1" customHeight="1" x14ac:dyDescent="0.5">
      <c r="A58" s="39">
        <v>2</v>
      </c>
      <c r="B58" s="30" t="s">
        <v>5</v>
      </c>
      <c r="C58" s="1">
        <v>0.35</v>
      </c>
      <c r="D58" s="1" t="s">
        <v>98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</row>
    <row r="59" spans="1:43" ht="25.15" hidden="1" customHeight="1" x14ac:dyDescent="0.5">
      <c r="A59" s="39">
        <v>3</v>
      </c>
      <c r="B59" s="30" t="s">
        <v>4</v>
      </c>
      <c r="C59" s="1">
        <v>0.17499999999999999</v>
      </c>
      <c r="D59" s="1" t="s">
        <v>100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ht="25.15" hidden="1" customHeight="1" x14ac:dyDescent="0.5">
      <c r="A60" s="39">
        <v>4</v>
      </c>
      <c r="B60" s="30" t="s">
        <v>3</v>
      </c>
      <c r="C60" s="1">
        <v>0.7</v>
      </c>
      <c r="D60" s="1" t="s">
        <v>96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5.15" hidden="1" customHeight="1" x14ac:dyDescent="0.5">
      <c r="A61" s="39">
        <v>5</v>
      </c>
      <c r="B61" s="30" t="s">
        <v>2</v>
      </c>
      <c r="C61" s="1">
        <v>0.35</v>
      </c>
      <c r="D61" s="1" t="s">
        <v>98</v>
      </c>
      <c r="E61" s="29"/>
      <c r="F61" s="29"/>
      <c r="G61" s="29">
        <f>F61*C61</f>
        <v>0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ht="25.15" hidden="1" customHeight="1" x14ac:dyDescent="0.5">
      <c r="A62" s="39">
        <v>6</v>
      </c>
      <c r="B62" s="30" t="s">
        <v>1</v>
      </c>
      <c r="C62" s="1">
        <v>0.17499999999999999</v>
      </c>
      <c r="D62" s="1" t="s">
        <v>100</v>
      </c>
      <c r="E62" s="29"/>
      <c r="F62" s="29"/>
      <c r="G62" s="29">
        <f t="shared" ref="G62:G64" si="15">F62*C62</f>
        <v>0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ht="25.15" hidden="1" customHeight="1" x14ac:dyDescent="0.5">
      <c r="A63" s="39">
        <v>7</v>
      </c>
      <c r="B63" s="30" t="s">
        <v>0</v>
      </c>
      <c r="C63" s="1">
        <v>0.7</v>
      </c>
      <c r="D63" s="1" t="s">
        <v>96</v>
      </c>
      <c r="E63" s="29"/>
      <c r="F63" s="29"/>
      <c r="G63" s="29">
        <f t="shared" si="15"/>
        <v>0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ht="25.15" hidden="1" customHeight="1" x14ac:dyDescent="0.5">
      <c r="A64" s="39">
        <v>8</v>
      </c>
      <c r="B64" s="30" t="s">
        <v>8</v>
      </c>
      <c r="C64" s="1">
        <v>0.7</v>
      </c>
      <c r="D64" s="1" t="s">
        <v>96</v>
      </c>
      <c r="E64" s="29"/>
      <c r="F64" s="29"/>
      <c r="G64" s="29">
        <f t="shared" si="15"/>
        <v>0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</row>
    <row r="65" spans="1:43" ht="25.15" hidden="1" customHeight="1" x14ac:dyDescent="0.5">
      <c r="A65" s="39">
        <v>9</v>
      </c>
      <c r="B65" s="30" t="s">
        <v>7</v>
      </c>
      <c r="C65" s="1">
        <v>0.35</v>
      </c>
      <c r="D65" s="1" t="s">
        <v>98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</row>
    <row r="66" spans="1:43" ht="25.15" hidden="1" customHeight="1" x14ac:dyDescent="0.5">
      <c r="A66" s="46"/>
      <c r="B66" s="239" t="s">
        <v>10</v>
      </c>
      <c r="C66" s="240"/>
      <c r="D66" s="241"/>
      <c r="E66" s="22">
        <f t="shared" ref="E66:AN66" si="16">SUM(E57:E65)</f>
        <v>0</v>
      </c>
      <c r="F66" s="22">
        <f t="shared" si="16"/>
        <v>0</v>
      </c>
      <c r="G66" s="22">
        <f>SUM(G57:G65)</f>
        <v>0</v>
      </c>
      <c r="H66" s="22">
        <f t="shared" si="16"/>
        <v>0</v>
      </c>
      <c r="I66" s="22">
        <f t="shared" si="16"/>
        <v>0</v>
      </c>
      <c r="J66" s="22">
        <f t="shared" si="16"/>
        <v>0</v>
      </c>
      <c r="K66" s="22">
        <f t="shared" si="16"/>
        <v>0</v>
      </c>
      <c r="L66" s="22">
        <f t="shared" si="16"/>
        <v>0</v>
      </c>
      <c r="M66" s="22">
        <f t="shared" si="16"/>
        <v>0</v>
      </c>
      <c r="N66" s="22">
        <f t="shared" si="16"/>
        <v>0</v>
      </c>
      <c r="O66" s="22">
        <f t="shared" si="16"/>
        <v>0</v>
      </c>
      <c r="P66" s="22">
        <f t="shared" si="16"/>
        <v>0</v>
      </c>
      <c r="Q66" s="22">
        <f t="shared" si="16"/>
        <v>0</v>
      </c>
      <c r="R66" s="22">
        <f t="shared" si="16"/>
        <v>0</v>
      </c>
      <c r="S66" s="22">
        <f t="shared" si="16"/>
        <v>0</v>
      </c>
      <c r="T66" s="22">
        <f t="shared" si="16"/>
        <v>0</v>
      </c>
      <c r="U66" s="22">
        <f t="shared" si="16"/>
        <v>0</v>
      </c>
      <c r="V66" s="22">
        <f t="shared" si="16"/>
        <v>0</v>
      </c>
      <c r="W66" s="22">
        <f t="shared" si="16"/>
        <v>0</v>
      </c>
      <c r="X66" s="22">
        <f t="shared" si="16"/>
        <v>0</v>
      </c>
      <c r="Y66" s="22">
        <f t="shared" si="16"/>
        <v>0</v>
      </c>
      <c r="Z66" s="22">
        <f t="shared" si="16"/>
        <v>0</v>
      </c>
      <c r="AA66" s="22">
        <f t="shared" si="16"/>
        <v>0</v>
      </c>
      <c r="AB66" s="22">
        <f t="shared" si="16"/>
        <v>0</v>
      </c>
      <c r="AC66" s="22">
        <f t="shared" si="16"/>
        <v>0</v>
      </c>
      <c r="AD66" s="22">
        <f t="shared" si="16"/>
        <v>0</v>
      </c>
      <c r="AE66" s="22">
        <f t="shared" si="16"/>
        <v>0</v>
      </c>
      <c r="AF66" s="22">
        <f t="shared" si="16"/>
        <v>0</v>
      </c>
      <c r="AG66" s="22">
        <f t="shared" si="16"/>
        <v>0</v>
      </c>
      <c r="AH66" s="22">
        <f t="shared" si="16"/>
        <v>0</v>
      </c>
      <c r="AI66" s="22">
        <f t="shared" si="16"/>
        <v>0</v>
      </c>
      <c r="AJ66" s="22">
        <f t="shared" si="16"/>
        <v>0</v>
      </c>
      <c r="AK66" s="22">
        <f t="shared" si="16"/>
        <v>0</v>
      </c>
      <c r="AL66" s="22">
        <f t="shared" si="16"/>
        <v>0</v>
      </c>
      <c r="AM66" s="22">
        <f t="shared" si="16"/>
        <v>0</v>
      </c>
      <c r="AN66" s="22">
        <f t="shared" si="16"/>
        <v>0</v>
      </c>
      <c r="AO66" s="22">
        <f t="shared" ref="AO66:AQ66" si="17">SUM(AO57:AO65)</f>
        <v>0</v>
      </c>
      <c r="AP66" s="22">
        <f t="shared" si="17"/>
        <v>0</v>
      </c>
      <c r="AQ66" s="22">
        <f t="shared" si="17"/>
        <v>0</v>
      </c>
    </row>
    <row r="67" spans="1:43" s="44" customFormat="1" ht="25.15" customHeight="1" x14ac:dyDescent="0.5">
      <c r="A67" s="45"/>
      <c r="B67" s="242" t="s">
        <v>49</v>
      </c>
      <c r="C67" s="243"/>
      <c r="D67" s="244"/>
      <c r="E67" s="38">
        <f t="shared" ref="E67:F67" si="18">E55+E66</f>
        <v>200</v>
      </c>
      <c r="F67" s="38">
        <f t="shared" si="18"/>
        <v>2400</v>
      </c>
      <c r="G67" s="38">
        <f>G55+G66</f>
        <v>2400</v>
      </c>
      <c r="H67" s="38">
        <f t="shared" ref="H67:I67" si="19">H55+H66</f>
        <v>10</v>
      </c>
      <c r="I67" s="38">
        <f t="shared" si="19"/>
        <v>140</v>
      </c>
      <c r="J67" s="37">
        <f t="shared" ref="J67:K67" si="20">J55+J66</f>
        <v>89.600000000000009</v>
      </c>
      <c r="K67" s="38">
        <f t="shared" si="20"/>
        <v>0</v>
      </c>
      <c r="L67" s="38"/>
      <c r="M67" s="37">
        <f t="shared" ref="M67:N67" si="21">M55+M66</f>
        <v>0</v>
      </c>
      <c r="N67" s="38">
        <f t="shared" si="21"/>
        <v>0</v>
      </c>
      <c r="O67" s="38"/>
      <c r="P67" s="37">
        <f t="shared" ref="P67:Q67" si="22">P55+P66</f>
        <v>0</v>
      </c>
      <c r="Q67" s="38">
        <f t="shared" si="22"/>
        <v>0</v>
      </c>
      <c r="R67" s="38"/>
      <c r="S67" s="37">
        <f t="shared" ref="S67:T67" si="23">S55+S66</f>
        <v>0</v>
      </c>
      <c r="T67" s="38">
        <f t="shared" si="23"/>
        <v>0</v>
      </c>
      <c r="U67" s="38"/>
      <c r="V67" s="37">
        <f t="shared" ref="V67:X67" si="24">V55+V66</f>
        <v>0</v>
      </c>
      <c r="W67" s="38">
        <f t="shared" si="24"/>
        <v>210</v>
      </c>
      <c r="X67" s="38">
        <f t="shared" si="24"/>
        <v>2520</v>
      </c>
      <c r="Y67" s="37">
        <f t="shared" ref="Y67:Z67" si="25">Y55+Y66</f>
        <v>2520</v>
      </c>
      <c r="Z67" s="38">
        <f t="shared" si="25"/>
        <v>0</v>
      </c>
      <c r="AA67" s="38"/>
      <c r="AB67" s="37">
        <f t="shared" ref="AB67:AC67" si="26">AB55+AB66</f>
        <v>0</v>
      </c>
      <c r="AC67" s="38">
        <f t="shared" si="26"/>
        <v>0</v>
      </c>
      <c r="AD67" s="38"/>
      <c r="AE67" s="37">
        <f t="shared" ref="AE67:AF67" si="27">AE55+AE66</f>
        <v>0</v>
      </c>
      <c r="AF67" s="38">
        <f t="shared" si="27"/>
        <v>0</v>
      </c>
      <c r="AG67" s="38"/>
      <c r="AH67" s="37">
        <f t="shared" ref="AH67:AI67" si="28">AH55+AH66</f>
        <v>0</v>
      </c>
      <c r="AI67" s="38">
        <f t="shared" si="28"/>
        <v>0</v>
      </c>
      <c r="AJ67" s="38"/>
      <c r="AK67" s="37">
        <f t="shared" ref="AK67:AL67" si="29">AK55+AK66</f>
        <v>0</v>
      </c>
      <c r="AL67" s="38">
        <f t="shared" si="29"/>
        <v>200</v>
      </c>
      <c r="AM67" s="38"/>
      <c r="AN67" s="37">
        <f t="shared" ref="AN67:AO67" si="30">AN55+AN66</f>
        <v>2400</v>
      </c>
      <c r="AO67" s="38">
        <f t="shared" si="30"/>
        <v>0</v>
      </c>
      <c r="AP67" s="38"/>
      <c r="AQ67" s="37">
        <f t="shared" ref="AQ67" si="31">AQ55+AQ66</f>
        <v>0</v>
      </c>
    </row>
    <row r="69" spans="1:43" x14ac:dyDescent="0.5">
      <c r="F69" s="53"/>
      <c r="G69" s="53"/>
    </row>
    <row r="70" spans="1:43" ht="25.15" customHeight="1" x14ac:dyDescent="0.5">
      <c r="B70" s="41" t="s">
        <v>162</v>
      </c>
    </row>
    <row r="71" spans="1:43" ht="15" customHeight="1" x14ac:dyDescent="0.5"/>
    <row r="72" spans="1:43" ht="42.75" customHeight="1" x14ac:dyDescent="0.5">
      <c r="A72" s="245" t="s">
        <v>52</v>
      </c>
      <c r="B72" s="245" t="s">
        <v>51</v>
      </c>
      <c r="C72" s="247" t="s">
        <v>117</v>
      </c>
      <c r="D72" s="247" t="s">
        <v>95</v>
      </c>
      <c r="E72" s="236" t="s">
        <v>19</v>
      </c>
      <c r="F72" s="237"/>
      <c r="G72" s="238"/>
      <c r="H72" s="236" t="s">
        <v>58</v>
      </c>
      <c r="I72" s="237"/>
      <c r="J72" s="238"/>
      <c r="K72" s="236" t="s">
        <v>59</v>
      </c>
      <c r="L72" s="237"/>
      <c r="M72" s="238"/>
      <c r="N72" s="236" t="s">
        <v>60</v>
      </c>
      <c r="O72" s="237"/>
      <c r="P72" s="238"/>
      <c r="Q72" s="236" t="s">
        <v>61</v>
      </c>
      <c r="R72" s="237"/>
      <c r="S72" s="238"/>
      <c r="T72" s="236" t="s">
        <v>62</v>
      </c>
      <c r="U72" s="237"/>
      <c r="V72" s="238"/>
      <c r="W72" s="236" t="s">
        <v>63</v>
      </c>
      <c r="X72" s="237"/>
      <c r="Y72" s="238"/>
      <c r="Z72" s="236" t="s">
        <v>64</v>
      </c>
      <c r="AA72" s="237"/>
      <c r="AB72" s="238"/>
      <c r="AC72" s="236" t="s">
        <v>65</v>
      </c>
      <c r="AD72" s="237"/>
      <c r="AE72" s="238"/>
      <c r="AF72" s="236" t="s">
        <v>18</v>
      </c>
      <c r="AG72" s="237"/>
      <c r="AH72" s="238"/>
      <c r="AI72" s="236" t="s">
        <v>17</v>
      </c>
      <c r="AJ72" s="237"/>
      <c r="AK72" s="238"/>
      <c r="AL72" s="236" t="s">
        <v>16</v>
      </c>
      <c r="AM72" s="237"/>
      <c r="AN72" s="238"/>
      <c r="AO72" s="236" t="s">
        <v>10</v>
      </c>
      <c r="AP72" s="237"/>
      <c r="AQ72" s="238"/>
    </row>
    <row r="73" spans="1:43" ht="25.15" customHeight="1" x14ac:dyDescent="0.5">
      <c r="A73" s="246"/>
      <c r="B73" s="246"/>
      <c r="C73" s="248"/>
      <c r="D73" s="248"/>
      <c r="E73" s="40" t="s">
        <v>50</v>
      </c>
      <c r="F73" s="40" t="s">
        <v>56</v>
      </c>
      <c r="G73" s="40" t="s">
        <v>93</v>
      </c>
      <c r="H73" s="40" t="s">
        <v>50</v>
      </c>
      <c r="I73" s="40" t="s">
        <v>56</v>
      </c>
      <c r="J73" s="40" t="s">
        <v>57</v>
      </c>
      <c r="K73" s="40" t="s">
        <v>50</v>
      </c>
      <c r="L73" s="40" t="s">
        <v>56</v>
      </c>
      <c r="M73" s="40" t="s">
        <v>57</v>
      </c>
      <c r="N73" s="40" t="s">
        <v>50</v>
      </c>
      <c r="O73" s="40" t="s">
        <v>56</v>
      </c>
      <c r="P73" s="40" t="s">
        <v>57</v>
      </c>
      <c r="Q73" s="40" t="s">
        <v>50</v>
      </c>
      <c r="R73" s="40" t="s">
        <v>56</v>
      </c>
      <c r="S73" s="40" t="s">
        <v>57</v>
      </c>
      <c r="T73" s="40" t="s">
        <v>50</v>
      </c>
      <c r="U73" s="40" t="s">
        <v>56</v>
      </c>
      <c r="V73" s="40" t="s">
        <v>57</v>
      </c>
      <c r="W73" s="40" t="s">
        <v>50</v>
      </c>
      <c r="X73" s="40" t="s">
        <v>56</v>
      </c>
      <c r="Y73" s="40" t="s">
        <v>57</v>
      </c>
      <c r="Z73" s="40" t="s">
        <v>50</v>
      </c>
      <c r="AA73" s="40" t="s">
        <v>56</v>
      </c>
      <c r="AB73" s="40" t="s">
        <v>57</v>
      </c>
      <c r="AC73" s="40" t="s">
        <v>50</v>
      </c>
      <c r="AD73" s="40" t="s">
        <v>56</v>
      </c>
      <c r="AE73" s="40" t="s">
        <v>57</v>
      </c>
      <c r="AF73" s="40" t="s">
        <v>50</v>
      </c>
      <c r="AG73" s="40" t="s">
        <v>56</v>
      </c>
      <c r="AH73" s="40" t="s">
        <v>57</v>
      </c>
      <c r="AI73" s="40" t="s">
        <v>50</v>
      </c>
      <c r="AJ73" s="40" t="s">
        <v>56</v>
      </c>
      <c r="AK73" s="40" t="s">
        <v>57</v>
      </c>
      <c r="AL73" s="40" t="s">
        <v>50</v>
      </c>
      <c r="AM73" s="40" t="s">
        <v>56</v>
      </c>
      <c r="AN73" s="40" t="s">
        <v>57</v>
      </c>
      <c r="AO73" s="40" t="s">
        <v>50</v>
      </c>
      <c r="AP73" s="40" t="s">
        <v>56</v>
      </c>
      <c r="AQ73" s="40" t="s">
        <v>57</v>
      </c>
    </row>
    <row r="74" spans="1:43" s="43" customFormat="1" ht="25.15" hidden="1" customHeight="1" x14ac:dyDescent="0.5">
      <c r="A74" s="31">
        <v>1</v>
      </c>
      <c r="B74" s="1" t="s">
        <v>67</v>
      </c>
      <c r="C74" s="34">
        <v>0.7</v>
      </c>
      <c r="D74" s="34" t="s">
        <v>96</v>
      </c>
      <c r="E74" s="29"/>
      <c r="F74" s="29"/>
      <c r="G74" s="29">
        <f>F74*C74</f>
        <v>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s="43" customFormat="1" ht="25.15" hidden="1" customHeight="1" x14ac:dyDescent="0.5">
      <c r="A75" s="31">
        <v>2</v>
      </c>
      <c r="B75" s="1"/>
      <c r="C75" s="34"/>
      <c r="D75" s="34"/>
      <c r="E75" s="29"/>
      <c r="F75" s="29"/>
      <c r="G75" s="29">
        <f t="shared" ref="G75:G93" si="32">F75*C75</f>
        <v>0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ht="25.15" hidden="1" customHeight="1" x14ac:dyDescent="0.5">
      <c r="A76" s="31">
        <v>3</v>
      </c>
      <c r="B76" s="1" t="s">
        <v>68</v>
      </c>
      <c r="C76" s="30">
        <v>1</v>
      </c>
      <c r="D76" s="30" t="s">
        <v>96</v>
      </c>
      <c r="E76" s="28"/>
      <c r="F76" s="28"/>
      <c r="G76" s="29">
        <f t="shared" si="32"/>
        <v>0</v>
      </c>
      <c r="H76" s="28"/>
      <c r="I76" s="28"/>
      <c r="J76" s="29"/>
      <c r="K76" s="28"/>
      <c r="L76" s="28"/>
      <c r="M76" s="29"/>
      <c r="N76" s="28"/>
      <c r="O76" s="28"/>
      <c r="P76" s="29"/>
      <c r="Q76" s="28"/>
      <c r="R76" s="28"/>
      <c r="S76" s="29"/>
      <c r="T76" s="28"/>
      <c r="U76" s="28"/>
      <c r="V76" s="29"/>
      <c r="W76" s="28"/>
      <c r="X76" s="28"/>
      <c r="Y76" s="29"/>
      <c r="Z76" s="28"/>
      <c r="AA76" s="28"/>
      <c r="AB76" s="29"/>
      <c r="AC76" s="28"/>
      <c r="AD76" s="28"/>
      <c r="AE76" s="29"/>
      <c r="AF76" s="28"/>
      <c r="AG76" s="28"/>
      <c r="AH76" s="29"/>
      <c r="AI76" s="28"/>
      <c r="AJ76" s="28"/>
      <c r="AK76" s="29"/>
      <c r="AL76" s="28"/>
      <c r="AM76" s="28"/>
      <c r="AN76" s="29"/>
      <c r="AO76" s="28"/>
      <c r="AP76" s="28"/>
      <c r="AQ76" s="29"/>
    </row>
    <row r="77" spans="1:43" ht="25.15" hidden="1" customHeight="1" x14ac:dyDescent="0.5">
      <c r="A77" s="31">
        <v>4</v>
      </c>
      <c r="B77" s="1" t="s">
        <v>69</v>
      </c>
      <c r="C77" s="30">
        <v>1</v>
      </c>
      <c r="D77" s="30" t="s">
        <v>96</v>
      </c>
      <c r="E77" s="28"/>
      <c r="F77" s="28"/>
      <c r="G77" s="29">
        <f t="shared" si="32"/>
        <v>0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</row>
    <row r="78" spans="1:43" ht="25.15" hidden="1" customHeight="1" x14ac:dyDescent="0.5">
      <c r="A78" s="31">
        <v>5</v>
      </c>
      <c r="B78" s="1" t="s">
        <v>70</v>
      </c>
      <c r="C78" s="30"/>
      <c r="D78" s="30"/>
      <c r="E78" s="28"/>
      <c r="F78" s="28"/>
      <c r="G78" s="29">
        <f t="shared" si="32"/>
        <v>0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</row>
    <row r="79" spans="1:43" ht="25.15" hidden="1" customHeight="1" x14ac:dyDescent="0.5">
      <c r="A79" s="31">
        <v>6</v>
      </c>
      <c r="B79" s="1" t="s">
        <v>71</v>
      </c>
      <c r="C79" s="30">
        <v>0.35</v>
      </c>
      <c r="D79" s="30" t="s">
        <v>97</v>
      </c>
      <c r="E79" s="28"/>
      <c r="F79" s="28"/>
      <c r="G79" s="29">
        <f t="shared" si="32"/>
        <v>0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</row>
    <row r="80" spans="1:43" ht="25.15" hidden="1" customHeight="1" x14ac:dyDescent="0.5">
      <c r="A80" s="31">
        <v>7</v>
      </c>
      <c r="B80" s="1" t="s">
        <v>72</v>
      </c>
      <c r="C80" s="30"/>
      <c r="D80" s="30"/>
      <c r="E80" s="28"/>
      <c r="F80" s="28"/>
      <c r="G80" s="29">
        <f t="shared" si="32"/>
        <v>0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</row>
    <row r="81" spans="1:43" ht="25.15" hidden="1" customHeight="1" x14ac:dyDescent="0.5">
      <c r="A81" s="31">
        <v>8</v>
      </c>
      <c r="B81" s="1" t="s">
        <v>73</v>
      </c>
      <c r="C81" s="30">
        <v>0.64</v>
      </c>
      <c r="D81" s="30" t="s">
        <v>99</v>
      </c>
      <c r="E81" s="28"/>
      <c r="F81" s="28"/>
      <c r="G81" s="29">
        <f t="shared" si="32"/>
        <v>0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</row>
    <row r="82" spans="1:43" ht="25.15" hidden="1" customHeight="1" x14ac:dyDescent="0.5">
      <c r="A82" s="31">
        <v>9</v>
      </c>
      <c r="B82" s="1" t="s">
        <v>73</v>
      </c>
      <c r="C82" s="30"/>
      <c r="D82" s="30"/>
      <c r="E82" s="28"/>
      <c r="F82" s="28"/>
      <c r="G82" s="29">
        <f t="shared" si="32"/>
        <v>0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</row>
    <row r="83" spans="1:43" ht="25.15" hidden="1" customHeight="1" x14ac:dyDescent="0.5">
      <c r="A83" s="31">
        <v>10</v>
      </c>
      <c r="B83" s="1" t="s">
        <v>73</v>
      </c>
      <c r="C83" s="30"/>
      <c r="D83" s="30"/>
      <c r="E83" s="28"/>
      <c r="F83" s="28"/>
      <c r="G83" s="29">
        <f t="shared" si="32"/>
        <v>0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</row>
    <row r="84" spans="1:43" ht="25.15" hidden="1" customHeight="1" x14ac:dyDescent="0.5">
      <c r="A84" s="31">
        <v>11</v>
      </c>
      <c r="B84" s="1"/>
      <c r="C84" s="30"/>
      <c r="D84" s="30"/>
      <c r="E84" s="28"/>
      <c r="F84" s="28"/>
      <c r="G84" s="29">
        <f t="shared" si="32"/>
        <v>0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</row>
    <row r="85" spans="1:43" ht="25.15" hidden="1" customHeight="1" x14ac:dyDescent="0.5">
      <c r="A85" s="31">
        <v>12</v>
      </c>
      <c r="B85" s="1" t="s">
        <v>74</v>
      </c>
      <c r="C85" s="30">
        <v>1</v>
      </c>
      <c r="D85" s="30" t="s">
        <v>96</v>
      </c>
      <c r="E85" s="28"/>
      <c r="F85" s="28"/>
      <c r="G85" s="29">
        <f t="shared" si="32"/>
        <v>0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</row>
    <row r="86" spans="1:43" ht="25.15" hidden="1" customHeight="1" x14ac:dyDescent="0.5">
      <c r="A86" s="31">
        <v>13</v>
      </c>
      <c r="B86" s="1" t="s">
        <v>75</v>
      </c>
      <c r="C86" s="30"/>
      <c r="D86" s="30"/>
      <c r="E86" s="28"/>
      <c r="F86" s="28"/>
      <c r="G86" s="29">
        <f t="shared" si="32"/>
        <v>0</v>
      </c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</row>
    <row r="87" spans="1:43" ht="25.15" hidden="1" customHeight="1" x14ac:dyDescent="0.5">
      <c r="A87" s="31">
        <v>14</v>
      </c>
      <c r="B87" s="1" t="s">
        <v>76</v>
      </c>
      <c r="C87" s="30"/>
      <c r="D87" s="30"/>
      <c r="E87" s="28"/>
      <c r="F87" s="28"/>
      <c r="G87" s="29">
        <f t="shared" si="32"/>
        <v>0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</row>
    <row r="88" spans="1:43" s="43" customFormat="1" ht="25.15" hidden="1" customHeight="1" x14ac:dyDescent="0.5">
      <c r="A88" s="31">
        <v>15</v>
      </c>
      <c r="B88" s="1" t="s">
        <v>77</v>
      </c>
      <c r="C88" s="34"/>
      <c r="D88" s="34"/>
      <c r="E88" s="29"/>
      <c r="F88" s="29"/>
      <c r="G88" s="29">
        <f t="shared" si="32"/>
        <v>0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</row>
    <row r="89" spans="1:43" ht="25.15" hidden="1" customHeight="1" x14ac:dyDescent="0.5">
      <c r="A89" s="31">
        <v>16</v>
      </c>
      <c r="B89" s="1" t="s">
        <v>78</v>
      </c>
      <c r="C89" s="30"/>
      <c r="D89" s="30"/>
      <c r="E89" s="28"/>
      <c r="F89" s="28"/>
      <c r="G89" s="29">
        <f t="shared" si="32"/>
        <v>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1:43" ht="25.15" hidden="1" customHeight="1" x14ac:dyDescent="0.5">
      <c r="A90" s="31">
        <v>17</v>
      </c>
      <c r="B90" s="1" t="s">
        <v>79</v>
      </c>
      <c r="C90" s="30"/>
      <c r="D90" s="30"/>
      <c r="E90" s="28"/>
      <c r="F90" s="28"/>
      <c r="G90" s="29">
        <f t="shared" si="32"/>
        <v>0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</row>
    <row r="91" spans="1:43" ht="25.15" hidden="1" customHeight="1" x14ac:dyDescent="0.5">
      <c r="A91" s="31">
        <v>18</v>
      </c>
      <c r="B91" s="1" t="s">
        <v>80</v>
      </c>
      <c r="C91" s="30"/>
      <c r="D91" s="30"/>
      <c r="E91" s="28"/>
      <c r="F91" s="28"/>
      <c r="G91" s="29">
        <f t="shared" si="32"/>
        <v>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</row>
    <row r="92" spans="1:43" ht="24" hidden="1" customHeight="1" x14ac:dyDescent="0.5">
      <c r="A92" s="31">
        <v>19</v>
      </c>
      <c r="B92" s="1" t="s">
        <v>81</v>
      </c>
      <c r="C92" s="30"/>
      <c r="D92" s="30"/>
      <c r="E92" s="28"/>
      <c r="F92" s="28"/>
      <c r="G92" s="29">
        <f t="shared" si="32"/>
        <v>0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</row>
    <row r="93" spans="1:43" ht="24" hidden="1" customHeight="1" x14ac:dyDescent="0.5">
      <c r="A93" s="31">
        <v>20</v>
      </c>
      <c r="B93" s="1" t="s">
        <v>82</v>
      </c>
      <c r="C93" s="30"/>
      <c r="D93" s="30"/>
      <c r="E93" s="28"/>
      <c r="F93" s="28"/>
      <c r="G93" s="29">
        <f t="shared" si="32"/>
        <v>0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</row>
    <row r="94" spans="1:43" ht="24" customHeight="1" x14ac:dyDescent="0.5">
      <c r="A94" s="28">
        <v>1</v>
      </c>
      <c r="B94" s="1" t="s">
        <v>83</v>
      </c>
      <c r="C94" s="30">
        <v>1</v>
      </c>
      <c r="D94" s="30" t="s">
        <v>96</v>
      </c>
      <c r="E94" s="28"/>
      <c r="F94" s="28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</row>
    <row r="95" spans="1:43" ht="24" hidden="1" customHeight="1" x14ac:dyDescent="0.5">
      <c r="A95" s="31">
        <v>22</v>
      </c>
      <c r="B95" s="1" t="s">
        <v>84</v>
      </c>
      <c r="C95" s="30">
        <v>1</v>
      </c>
      <c r="D95" s="30"/>
      <c r="E95" s="28"/>
      <c r="F95" s="28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1:43" ht="24" hidden="1" customHeight="1" x14ac:dyDescent="0.5">
      <c r="A96" s="31">
        <v>23</v>
      </c>
      <c r="B96" s="1" t="s">
        <v>85</v>
      </c>
      <c r="C96" s="30">
        <v>1</v>
      </c>
      <c r="D96" s="30"/>
      <c r="E96" s="28"/>
      <c r="F96" s="28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</row>
    <row r="97" spans="1:43" ht="24" hidden="1" customHeight="1" x14ac:dyDescent="0.5">
      <c r="A97" s="31">
        <v>24</v>
      </c>
      <c r="B97" s="1" t="s">
        <v>86</v>
      </c>
      <c r="C97" s="30">
        <v>1</v>
      </c>
      <c r="D97" s="30"/>
      <c r="E97" s="28"/>
      <c r="F97" s="28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</row>
    <row r="98" spans="1:43" ht="24" hidden="1" customHeight="1" x14ac:dyDescent="0.5">
      <c r="A98" s="31">
        <v>25</v>
      </c>
      <c r="B98" s="1" t="s">
        <v>87</v>
      </c>
      <c r="C98" s="30">
        <v>1</v>
      </c>
      <c r="D98" s="30"/>
      <c r="E98" s="28"/>
      <c r="F98" s="28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</row>
    <row r="99" spans="1:43" ht="24" hidden="1" customHeight="1" x14ac:dyDescent="0.5">
      <c r="A99" s="31">
        <v>26</v>
      </c>
      <c r="B99" s="1" t="s">
        <v>88</v>
      </c>
      <c r="C99" s="30">
        <v>1</v>
      </c>
      <c r="D99" s="30"/>
      <c r="E99" s="28"/>
      <c r="F99" s="28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</row>
    <row r="100" spans="1:43" ht="24" hidden="1" customHeight="1" x14ac:dyDescent="0.5">
      <c r="A100" s="31">
        <v>27</v>
      </c>
      <c r="B100" s="1" t="s">
        <v>89</v>
      </c>
      <c r="C100" s="30">
        <v>1</v>
      </c>
      <c r="D100" s="30"/>
      <c r="E100" s="28"/>
      <c r="F100" s="28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</row>
    <row r="101" spans="1:43" ht="24" customHeight="1" x14ac:dyDescent="0.5">
      <c r="A101" s="31"/>
      <c r="B101" s="1" t="s">
        <v>146</v>
      </c>
      <c r="C101" s="30">
        <v>1</v>
      </c>
      <c r="D101" s="30" t="s">
        <v>135</v>
      </c>
      <c r="E101" s="28"/>
      <c r="F101" s="28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</row>
    <row r="102" spans="1:43" ht="24" customHeight="1" x14ac:dyDescent="0.5">
      <c r="A102" s="31"/>
      <c r="B102" s="1" t="s">
        <v>147</v>
      </c>
      <c r="C102" s="30">
        <v>1</v>
      </c>
      <c r="D102" s="30" t="s">
        <v>135</v>
      </c>
      <c r="E102" s="28"/>
      <c r="F102" s="28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</row>
    <row r="103" spans="1:43" ht="24" customHeight="1" x14ac:dyDescent="0.5">
      <c r="A103" s="28">
        <v>2</v>
      </c>
      <c r="B103" s="1" t="s">
        <v>89</v>
      </c>
      <c r="C103" s="30">
        <v>0.64</v>
      </c>
      <c r="D103" s="30" t="s">
        <v>99</v>
      </c>
      <c r="E103" s="28"/>
      <c r="F103" s="28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</row>
    <row r="104" spans="1:43" ht="24" hidden="1" customHeight="1" x14ac:dyDescent="0.5">
      <c r="A104" s="31">
        <v>28</v>
      </c>
      <c r="B104" s="1" t="s">
        <v>88</v>
      </c>
      <c r="C104" s="30">
        <v>0.64</v>
      </c>
      <c r="D104" s="30" t="s">
        <v>99</v>
      </c>
      <c r="E104" s="28"/>
      <c r="F104" s="28"/>
      <c r="G104" s="29">
        <f t="shared" ref="G104:G110" si="33">F104*C104</f>
        <v>0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>
        <f t="shared" ref="Y104:Y113" si="34">X104*C104</f>
        <v>0</v>
      </c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</row>
    <row r="105" spans="1:43" ht="24" hidden="1" customHeight="1" x14ac:dyDescent="0.5">
      <c r="A105" s="31">
        <v>29</v>
      </c>
      <c r="B105" s="1" t="s">
        <v>88</v>
      </c>
      <c r="C105" s="30">
        <v>0.64</v>
      </c>
      <c r="D105" s="30" t="s">
        <v>98</v>
      </c>
      <c r="E105" s="28"/>
      <c r="F105" s="28"/>
      <c r="G105" s="29">
        <f t="shared" si="33"/>
        <v>0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>
        <f t="shared" si="34"/>
        <v>0</v>
      </c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</row>
    <row r="106" spans="1:43" ht="24" hidden="1" customHeight="1" x14ac:dyDescent="0.5">
      <c r="A106" s="31">
        <v>30</v>
      </c>
      <c r="B106" s="1" t="s">
        <v>9</v>
      </c>
      <c r="C106" s="30">
        <v>0.64</v>
      </c>
      <c r="D106" s="30" t="s">
        <v>99</v>
      </c>
      <c r="E106" s="28"/>
      <c r="F106" s="28"/>
      <c r="G106" s="29">
        <f t="shared" si="33"/>
        <v>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>
        <f t="shared" si="34"/>
        <v>0</v>
      </c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</row>
    <row r="107" spans="1:43" ht="24" hidden="1" customHeight="1" x14ac:dyDescent="0.5">
      <c r="A107" s="31">
        <v>31</v>
      </c>
      <c r="B107" s="30" t="s">
        <v>90</v>
      </c>
      <c r="C107" s="30">
        <v>1</v>
      </c>
      <c r="D107" s="30" t="s">
        <v>96</v>
      </c>
      <c r="E107" s="28"/>
      <c r="F107" s="28"/>
      <c r="G107" s="29">
        <f t="shared" si="33"/>
        <v>0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>
        <f t="shared" si="34"/>
        <v>0</v>
      </c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</row>
    <row r="108" spans="1:43" ht="24" hidden="1" customHeight="1" x14ac:dyDescent="0.5">
      <c r="A108" s="31">
        <v>32</v>
      </c>
      <c r="B108" s="30" t="s">
        <v>91</v>
      </c>
      <c r="C108" s="30"/>
      <c r="D108" s="30"/>
      <c r="E108" s="28"/>
      <c r="F108" s="28"/>
      <c r="G108" s="29">
        <f t="shared" si="33"/>
        <v>0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>
        <f t="shared" si="34"/>
        <v>0</v>
      </c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</row>
    <row r="109" spans="1:43" ht="24" hidden="1" customHeight="1" x14ac:dyDescent="0.5">
      <c r="A109" s="31">
        <v>33</v>
      </c>
      <c r="B109" s="30" t="s">
        <v>91</v>
      </c>
      <c r="C109" s="30"/>
      <c r="D109" s="30"/>
      <c r="E109" s="28"/>
      <c r="F109" s="28"/>
      <c r="G109" s="29">
        <f t="shared" si="33"/>
        <v>0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>
        <f t="shared" si="34"/>
        <v>0</v>
      </c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</row>
    <row r="110" spans="1:43" ht="24" hidden="1" customHeight="1" x14ac:dyDescent="0.5">
      <c r="A110" s="31">
        <v>34</v>
      </c>
      <c r="B110" s="30" t="s">
        <v>92</v>
      </c>
      <c r="C110" s="30">
        <v>0.64</v>
      </c>
      <c r="D110" s="30" t="s">
        <v>98</v>
      </c>
      <c r="E110" s="28"/>
      <c r="F110" s="28"/>
      <c r="G110" s="29">
        <f t="shared" si="33"/>
        <v>0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>
        <f t="shared" si="34"/>
        <v>0</v>
      </c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</row>
    <row r="111" spans="1:43" ht="24" hidden="1" customHeight="1" x14ac:dyDescent="0.5">
      <c r="A111" s="31">
        <v>35</v>
      </c>
      <c r="B111" s="30"/>
      <c r="C111" s="30"/>
      <c r="D111" s="30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>
        <f t="shared" si="34"/>
        <v>0</v>
      </c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ht="24" hidden="1" customHeight="1" x14ac:dyDescent="0.5">
      <c r="A112" s="31">
        <v>36</v>
      </c>
      <c r="B112" s="30"/>
      <c r="C112" s="30"/>
      <c r="D112" s="30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>
        <f t="shared" si="34"/>
        <v>0</v>
      </c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spans="1:43" ht="24" hidden="1" customHeight="1" x14ac:dyDescent="0.5">
      <c r="A113" s="31">
        <v>37</v>
      </c>
      <c r="B113" s="30"/>
      <c r="C113" s="30"/>
      <c r="D113" s="30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>
        <f t="shared" si="34"/>
        <v>0</v>
      </c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</row>
    <row r="114" spans="1:43" s="41" customFormat="1" ht="24" customHeight="1" x14ac:dyDescent="0.5">
      <c r="A114" s="24"/>
      <c r="B114" s="239" t="s">
        <v>10</v>
      </c>
      <c r="C114" s="240"/>
      <c r="D114" s="241"/>
      <c r="E114" s="22">
        <f>SUM(E74:E113)</f>
        <v>0</v>
      </c>
      <c r="F114" s="22">
        <f t="shared" ref="F114" si="35">SUM(F74:F113)</f>
        <v>0</v>
      </c>
      <c r="G114" s="22">
        <f>SUM(G74:G113)</f>
        <v>0</v>
      </c>
      <c r="H114" s="22">
        <f t="shared" ref="H114:I114" si="36">SUM(H74:H113)</f>
        <v>0</v>
      </c>
      <c r="I114" s="22">
        <f t="shared" si="36"/>
        <v>0</v>
      </c>
      <c r="J114" s="22">
        <f>SUM(J74:J113)</f>
        <v>0</v>
      </c>
      <c r="K114" s="22">
        <f t="shared" ref="K114:AQ114" si="37">SUM(K74:K113)</f>
        <v>0</v>
      </c>
      <c r="L114" s="22">
        <f t="shared" si="37"/>
        <v>0</v>
      </c>
      <c r="M114" s="22">
        <f t="shared" si="37"/>
        <v>0</v>
      </c>
      <c r="N114" s="22">
        <f t="shared" si="37"/>
        <v>0</v>
      </c>
      <c r="O114" s="22">
        <f t="shared" si="37"/>
        <v>0</v>
      </c>
      <c r="P114" s="22">
        <f t="shared" si="37"/>
        <v>0</v>
      </c>
      <c r="Q114" s="22">
        <f t="shared" si="37"/>
        <v>0</v>
      </c>
      <c r="R114" s="22">
        <f t="shared" si="37"/>
        <v>0</v>
      </c>
      <c r="S114" s="22">
        <f t="shared" si="37"/>
        <v>0</v>
      </c>
      <c r="T114" s="22">
        <f t="shared" si="37"/>
        <v>0</v>
      </c>
      <c r="U114" s="22">
        <f t="shared" si="37"/>
        <v>0</v>
      </c>
      <c r="V114" s="22">
        <f t="shared" si="37"/>
        <v>0</v>
      </c>
      <c r="W114" s="22">
        <f t="shared" si="37"/>
        <v>0</v>
      </c>
      <c r="X114" s="22">
        <f t="shared" si="37"/>
        <v>0</v>
      </c>
      <c r="Y114" s="22">
        <f t="shared" si="37"/>
        <v>0</v>
      </c>
      <c r="Z114" s="22">
        <f t="shared" si="37"/>
        <v>0</v>
      </c>
      <c r="AA114" s="22">
        <f t="shared" si="37"/>
        <v>0</v>
      </c>
      <c r="AB114" s="22">
        <f t="shared" si="37"/>
        <v>0</v>
      </c>
      <c r="AC114" s="22">
        <f t="shared" si="37"/>
        <v>0</v>
      </c>
      <c r="AD114" s="22">
        <f t="shared" si="37"/>
        <v>0</v>
      </c>
      <c r="AE114" s="22">
        <f t="shared" si="37"/>
        <v>0</v>
      </c>
      <c r="AF114" s="22">
        <f t="shared" si="37"/>
        <v>0</v>
      </c>
      <c r="AG114" s="22">
        <f t="shared" si="37"/>
        <v>0</v>
      </c>
      <c r="AH114" s="22">
        <f t="shared" si="37"/>
        <v>0</v>
      </c>
      <c r="AI114" s="22">
        <f t="shared" si="37"/>
        <v>0</v>
      </c>
      <c r="AJ114" s="22">
        <f t="shared" si="37"/>
        <v>0</v>
      </c>
      <c r="AK114" s="22">
        <f t="shared" si="37"/>
        <v>0</v>
      </c>
      <c r="AL114" s="22">
        <f t="shared" si="37"/>
        <v>0</v>
      </c>
      <c r="AM114" s="22">
        <f t="shared" si="37"/>
        <v>0</v>
      </c>
      <c r="AN114" s="22">
        <f t="shared" si="37"/>
        <v>0</v>
      </c>
      <c r="AO114" s="22">
        <f t="shared" si="37"/>
        <v>0</v>
      </c>
      <c r="AP114" s="22">
        <f t="shared" si="37"/>
        <v>0</v>
      </c>
      <c r="AQ114" s="22">
        <f t="shared" si="37"/>
        <v>0</v>
      </c>
    </row>
    <row r="115" spans="1:43" ht="24" hidden="1" customHeight="1" x14ac:dyDescent="0.5">
      <c r="A115" s="39"/>
      <c r="B115" s="30"/>
      <c r="C115" s="30"/>
      <c r="D115" s="30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</row>
    <row r="116" spans="1:43" ht="25.15" hidden="1" customHeight="1" x14ac:dyDescent="0.5">
      <c r="A116" s="39">
        <v>1</v>
      </c>
      <c r="B116" s="30" t="s">
        <v>6</v>
      </c>
      <c r="C116" s="1">
        <v>0.7</v>
      </c>
      <c r="D116" s="1" t="s">
        <v>96</v>
      </c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</row>
    <row r="117" spans="1:43" ht="25.15" hidden="1" customHeight="1" x14ac:dyDescent="0.5">
      <c r="A117" s="39">
        <v>2</v>
      </c>
      <c r="B117" s="30" t="s">
        <v>5</v>
      </c>
      <c r="C117" s="1">
        <v>0.35</v>
      </c>
      <c r="D117" s="1" t="s">
        <v>98</v>
      </c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</row>
    <row r="118" spans="1:43" ht="25.15" hidden="1" customHeight="1" x14ac:dyDescent="0.5">
      <c r="A118" s="39">
        <v>3</v>
      </c>
      <c r="B118" s="30" t="s">
        <v>4</v>
      </c>
      <c r="C118" s="1">
        <v>0.17499999999999999</v>
      </c>
      <c r="D118" s="1" t="s">
        <v>100</v>
      </c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</row>
    <row r="119" spans="1:43" ht="25.15" hidden="1" customHeight="1" x14ac:dyDescent="0.5">
      <c r="A119" s="39">
        <v>4</v>
      </c>
      <c r="B119" s="30" t="s">
        <v>3</v>
      </c>
      <c r="C119" s="1">
        <v>0.7</v>
      </c>
      <c r="D119" s="1" t="s">
        <v>96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</row>
    <row r="120" spans="1:43" ht="25.15" hidden="1" customHeight="1" x14ac:dyDescent="0.5">
      <c r="A120" s="39">
        <v>5</v>
      </c>
      <c r="B120" s="30" t="s">
        <v>2</v>
      </c>
      <c r="C120" s="1">
        <v>0.35</v>
      </c>
      <c r="D120" s="1" t="s">
        <v>98</v>
      </c>
      <c r="E120" s="29"/>
      <c r="F120" s="29"/>
      <c r="G120" s="29">
        <f>F120*C120</f>
        <v>0</v>
      </c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</row>
    <row r="121" spans="1:43" ht="25.15" hidden="1" customHeight="1" x14ac:dyDescent="0.5">
      <c r="A121" s="39">
        <v>6</v>
      </c>
      <c r="B121" s="30" t="s">
        <v>1</v>
      </c>
      <c r="C121" s="1">
        <v>0.17499999999999999</v>
      </c>
      <c r="D121" s="1" t="s">
        <v>100</v>
      </c>
      <c r="E121" s="29"/>
      <c r="F121" s="29"/>
      <c r="G121" s="29">
        <f t="shared" ref="G121:G123" si="38">F121*C121</f>
        <v>0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</row>
    <row r="122" spans="1:43" ht="25.15" hidden="1" customHeight="1" x14ac:dyDescent="0.5">
      <c r="A122" s="39">
        <v>7</v>
      </c>
      <c r="B122" s="30" t="s">
        <v>0</v>
      </c>
      <c r="C122" s="1">
        <v>0.7</v>
      </c>
      <c r="D122" s="1" t="s">
        <v>96</v>
      </c>
      <c r="E122" s="29"/>
      <c r="F122" s="29"/>
      <c r="G122" s="29">
        <f t="shared" si="38"/>
        <v>0</v>
      </c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</row>
    <row r="123" spans="1:43" ht="25.15" hidden="1" customHeight="1" x14ac:dyDescent="0.5">
      <c r="A123" s="39">
        <v>8</v>
      </c>
      <c r="B123" s="30" t="s">
        <v>8</v>
      </c>
      <c r="C123" s="1">
        <v>0.7</v>
      </c>
      <c r="D123" s="1" t="s">
        <v>96</v>
      </c>
      <c r="E123" s="29"/>
      <c r="F123" s="29"/>
      <c r="G123" s="29">
        <f t="shared" si="38"/>
        <v>0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</row>
    <row r="124" spans="1:43" ht="25.15" hidden="1" customHeight="1" x14ac:dyDescent="0.5">
      <c r="A124" s="39">
        <v>9</v>
      </c>
      <c r="B124" s="30" t="s">
        <v>7</v>
      </c>
      <c r="C124" s="1">
        <v>0.35</v>
      </c>
      <c r="D124" s="1" t="s">
        <v>98</v>
      </c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</row>
    <row r="125" spans="1:43" ht="25.15" hidden="1" customHeight="1" x14ac:dyDescent="0.5">
      <c r="A125" s="46"/>
      <c r="B125" s="239" t="s">
        <v>10</v>
      </c>
      <c r="C125" s="240"/>
      <c r="D125" s="241"/>
      <c r="E125" s="22">
        <f t="shared" ref="E125:F125" si="39">SUM(E116:E124)</f>
        <v>0</v>
      </c>
      <c r="F125" s="22">
        <f t="shared" si="39"/>
        <v>0</v>
      </c>
      <c r="G125" s="22">
        <f>SUM(G116:G124)</f>
        <v>0</v>
      </c>
      <c r="H125" s="22">
        <f t="shared" ref="H125:AQ125" si="40">SUM(H116:H124)</f>
        <v>0</v>
      </c>
      <c r="I125" s="22">
        <f t="shared" si="40"/>
        <v>0</v>
      </c>
      <c r="J125" s="22">
        <f t="shared" si="40"/>
        <v>0</v>
      </c>
      <c r="K125" s="22">
        <f t="shared" si="40"/>
        <v>0</v>
      </c>
      <c r="L125" s="22">
        <f t="shared" si="40"/>
        <v>0</v>
      </c>
      <c r="M125" s="22">
        <f t="shared" si="40"/>
        <v>0</v>
      </c>
      <c r="N125" s="22">
        <f t="shared" si="40"/>
        <v>0</v>
      </c>
      <c r="O125" s="22">
        <f t="shared" si="40"/>
        <v>0</v>
      </c>
      <c r="P125" s="22">
        <f t="shared" si="40"/>
        <v>0</v>
      </c>
      <c r="Q125" s="22">
        <f t="shared" si="40"/>
        <v>0</v>
      </c>
      <c r="R125" s="22">
        <f t="shared" si="40"/>
        <v>0</v>
      </c>
      <c r="S125" s="22">
        <f t="shared" si="40"/>
        <v>0</v>
      </c>
      <c r="T125" s="22">
        <f t="shared" si="40"/>
        <v>0</v>
      </c>
      <c r="U125" s="22">
        <f t="shared" si="40"/>
        <v>0</v>
      </c>
      <c r="V125" s="22">
        <f t="shared" si="40"/>
        <v>0</v>
      </c>
      <c r="W125" s="22">
        <f t="shared" si="40"/>
        <v>0</v>
      </c>
      <c r="X125" s="22">
        <f t="shared" si="40"/>
        <v>0</v>
      </c>
      <c r="Y125" s="22">
        <f t="shared" si="40"/>
        <v>0</v>
      </c>
      <c r="Z125" s="22">
        <f t="shared" si="40"/>
        <v>0</v>
      </c>
      <c r="AA125" s="22">
        <f t="shared" si="40"/>
        <v>0</v>
      </c>
      <c r="AB125" s="22">
        <f t="shared" si="40"/>
        <v>0</v>
      </c>
      <c r="AC125" s="22">
        <f t="shared" si="40"/>
        <v>0</v>
      </c>
      <c r="AD125" s="22">
        <f t="shared" si="40"/>
        <v>0</v>
      </c>
      <c r="AE125" s="22">
        <f t="shared" si="40"/>
        <v>0</v>
      </c>
      <c r="AF125" s="22">
        <f t="shared" si="40"/>
        <v>0</v>
      </c>
      <c r="AG125" s="22">
        <f t="shared" si="40"/>
        <v>0</v>
      </c>
      <c r="AH125" s="22">
        <f t="shared" si="40"/>
        <v>0</v>
      </c>
      <c r="AI125" s="22">
        <f t="shared" si="40"/>
        <v>0</v>
      </c>
      <c r="AJ125" s="22">
        <f t="shared" si="40"/>
        <v>0</v>
      </c>
      <c r="AK125" s="22">
        <f t="shared" si="40"/>
        <v>0</v>
      </c>
      <c r="AL125" s="22">
        <f t="shared" si="40"/>
        <v>0</v>
      </c>
      <c r="AM125" s="22">
        <f t="shared" si="40"/>
        <v>0</v>
      </c>
      <c r="AN125" s="22">
        <f t="shared" si="40"/>
        <v>0</v>
      </c>
      <c r="AO125" s="22">
        <f t="shared" si="40"/>
        <v>0</v>
      </c>
      <c r="AP125" s="22">
        <f t="shared" si="40"/>
        <v>0</v>
      </c>
      <c r="AQ125" s="22">
        <f t="shared" si="40"/>
        <v>0</v>
      </c>
    </row>
    <row r="126" spans="1:43" s="44" customFormat="1" ht="25.15" customHeight="1" x14ac:dyDescent="0.5">
      <c r="A126" s="45"/>
      <c r="B126" s="242" t="s">
        <v>49</v>
      </c>
      <c r="C126" s="243"/>
      <c r="D126" s="244"/>
      <c r="E126" s="38">
        <f t="shared" ref="E126:F126" si="41">E114+E125</f>
        <v>0</v>
      </c>
      <c r="F126" s="38">
        <f t="shared" si="41"/>
        <v>0</v>
      </c>
      <c r="G126" s="38">
        <f>G114+G125</f>
        <v>0</v>
      </c>
      <c r="H126" s="38">
        <f t="shared" ref="H126:K126" si="42">H114+H125</f>
        <v>0</v>
      </c>
      <c r="I126" s="38">
        <f t="shared" si="42"/>
        <v>0</v>
      </c>
      <c r="J126" s="37">
        <f t="shared" si="42"/>
        <v>0</v>
      </c>
      <c r="K126" s="38">
        <f t="shared" si="42"/>
        <v>0</v>
      </c>
      <c r="L126" s="38"/>
      <c r="M126" s="37">
        <f t="shared" ref="M126:N126" si="43">M114+M125</f>
        <v>0</v>
      </c>
      <c r="N126" s="38">
        <f t="shared" si="43"/>
        <v>0</v>
      </c>
      <c r="O126" s="38"/>
      <c r="P126" s="37">
        <f t="shared" ref="P126:Q126" si="44">P114+P125</f>
        <v>0</v>
      </c>
      <c r="Q126" s="38">
        <f t="shared" si="44"/>
        <v>0</v>
      </c>
      <c r="R126" s="38"/>
      <c r="S126" s="37">
        <f t="shared" ref="S126:T126" si="45">S114+S125</f>
        <v>0</v>
      </c>
      <c r="T126" s="38">
        <f t="shared" si="45"/>
        <v>0</v>
      </c>
      <c r="U126" s="38"/>
      <c r="V126" s="37">
        <f t="shared" ref="V126:Z126" si="46">V114+V125</f>
        <v>0</v>
      </c>
      <c r="W126" s="38">
        <f t="shared" si="46"/>
        <v>0</v>
      </c>
      <c r="X126" s="38">
        <f t="shared" si="46"/>
        <v>0</v>
      </c>
      <c r="Y126" s="37">
        <f t="shared" si="46"/>
        <v>0</v>
      </c>
      <c r="Z126" s="38">
        <f t="shared" si="46"/>
        <v>0</v>
      </c>
      <c r="AA126" s="38"/>
      <c r="AB126" s="37">
        <f t="shared" ref="AB126:AC126" si="47">AB114+AB125</f>
        <v>0</v>
      </c>
      <c r="AC126" s="38">
        <f t="shared" si="47"/>
        <v>0</v>
      </c>
      <c r="AD126" s="38"/>
      <c r="AE126" s="37">
        <f t="shared" ref="AE126:AF126" si="48">AE114+AE125</f>
        <v>0</v>
      </c>
      <c r="AF126" s="38">
        <f t="shared" si="48"/>
        <v>0</v>
      </c>
      <c r="AG126" s="38"/>
      <c r="AH126" s="37">
        <f t="shared" ref="AH126:AI126" si="49">AH114+AH125</f>
        <v>0</v>
      </c>
      <c r="AI126" s="38">
        <f t="shared" si="49"/>
        <v>0</v>
      </c>
      <c r="AJ126" s="38"/>
      <c r="AK126" s="37">
        <f t="shared" ref="AK126:AL126" si="50">AK114+AK125</f>
        <v>0</v>
      </c>
      <c r="AL126" s="38">
        <f t="shared" si="50"/>
        <v>0</v>
      </c>
      <c r="AM126" s="38"/>
      <c r="AN126" s="37">
        <f t="shared" ref="AN126:AO126" si="51">AN114+AN125</f>
        <v>0</v>
      </c>
      <c r="AO126" s="38">
        <f t="shared" si="51"/>
        <v>0</v>
      </c>
      <c r="AP126" s="38"/>
      <c r="AQ126" s="37">
        <f t="shared" ref="AQ126" si="52">AQ114+AQ125</f>
        <v>0</v>
      </c>
    </row>
  </sheetData>
  <mergeCells count="58">
    <mergeCell ref="AL3:AN3"/>
    <mergeCell ref="AO3:AQ3"/>
    <mergeCell ref="B8:D8"/>
    <mergeCell ref="AL13:AN1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Q13:S13"/>
    <mergeCell ref="AF13:AH13"/>
    <mergeCell ref="A3:A4"/>
    <mergeCell ref="B3:B4"/>
    <mergeCell ref="C3:C4"/>
    <mergeCell ref="D3:D4"/>
    <mergeCell ref="E3:G3"/>
    <mergeCell ref="AI13:AK13"/>
    <mergeCell ref="AO13:AQ13"/>
    <mergeCell ref="E13:G13"/>
    <mergeCell ref="H13:J13"/>
    <mergeCell ref="K13:M13"/>
    <mergeCell ref="N13:P13"/>
    <mergeCell ref="T13:V13"/>
    <mergeCell ref="W13:Y13"/>
    <mergeCell ref="Z13:AB13"/>
    <mergeCell ref="AC13:AE13"/>
    <mergeCell ref="B67:D67"/>
    <mergeCell ref="A13:A14"/>
    <mergeCell ref="B13:B14"/>
    <mergeCell ref="C13:C14"/>
    <mergeCell ref="D13:D14"/>
    <mergeCell ref="B66:D66"/>
    <mergeCell ref="B55:D55"/>
    <mergeCell ref="A72:A73"/>
    <mergeCell ref="B72:B73"/>
    <mergeCell ref="C72:C73"/>
    <mergeCell ref="D72:D73"/>
    <mergeCell ref="E72:G72"/>
    <mergeCell ref="AL72:AN72"/>
    <mergeCell ref="AO72:AQ72"/>
    <mergeCell ref="B114:D114"/>
    <mergeCell ref="B125:D125"/>
    <mergeCell ref="B126:D126"/>
    <mergeCell ref="W72:Y72"/>
    <mergeCell ref="Z72:AB72"/>
    <mergeCell ref="AC72:AE72"/>
    <mergeCell ref="AF72:AH72"/>
    <mergeCell ref="AI72:AK72"/>
    <mergeCell ref="H72:J72"/>
    <mergeCell ref="K72:M72"/>
    <mergeCell ref="N72:P72"/>
    <mergeCell ref="Q72:S72"/>
    <mergeCell ref="T72:V72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DA9A-5734-48A8-9D6C-7A8357EEF992}">
  <sheetPr>
    <tabColor rgb="FFFF0000"/>
  </sheetPr>
  <dimension ref="A1:AQ50"/>
  <sheetViews>
    <sheetView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H49" sqref="H49:J49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customWidth="1"/>
    <col min="7" max="7" width="8.5703125" style="42" customWidth="1"/>
    <col min="8" max="36" width="6.7109375" style="42" customWidth="1"/>
    <col min="37" max="37" width="6.85546875" style="42" customWidth="1"/>
    <col min="38" max="41" width="6.7109375" style="42" customWidth="1"/>
    <col min="42" max="43" width="7.140625" style="42" bestFit="1" customWidth="1"/>
    <col min="44" max="16384" width="9.7109375" style="42"/>
  </cols>
  <sheetData>
    <row r="1" spans="1:43" ht="21" x14ac:dyDescent="0.6">
      <c r="A1" s="163"/>
      <c r="B1" s="164" t="s">
        <v>141</v>
      </c>
      <c r="C1" s="163"/>
    </row>
    <row r="3" spans="1:43" ht="21" x14ac:dyDescent="0.6">
      <c r="A3" s="252" t="s">
        <v>52</v>
      </c>
      <c r="B3" s="252" t="s">
        <v>51</v>
      </c>
      <c r="C3" s="254" t="s">
        <v>117</v>
      </c>
      <c r="D3" s="254" t="s">
        <v>95</v>
      </c>
      <c r="E3" s="249" t="s">
        <v>114</v>
      </c>
      <c r="F3" s="250"/>
      <c r="G3" s="251"/>
      <c r="H3" s="249" t="s">
        <v>58</v>
      </c>
      <c r="I3" s="250"/>
      <c r="J3" s="251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ht="21" x14ac:dyDescent="0.5">
      <c r="A4" s="253"/>
      <c r="B4" s="253"/>
      <c r="C4" s="255"/>
      <c r="D4" s="255"/>
      <c r="E4" s="66" t="s">
        <v>50</v>
      </c>
      <c r="F4" s="66" t="s">
        <v>56</v>
      </c>
      <c r="G4" s="66" t="s">
        <v>93</v>
      </c>
      <c r="H4" s="66" t="s">
        <v>50</v>
      </c>
      <c r="I4" s="66" t="s">
        <v>56</v>
      </c>
      <c r="J4" s="66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5">
      <c r="A5" s="29">
        <v>1</v>
      </c>
      <c r="B5" s="161" t="s">
        <v>67</v>
      </c>
      <c r="C5" s="34">
        <v>0.7</v>
      </c>
      <c r="D5" s="34" t="s">
        <v>96</v>
      </c>
      <c r="E5" s="29"/>
      <c r="F5" s="29">
        <v>0</v>
      </c>
      <c r="G5" s="29">
        <f>F5*C5</f>
        <v>0</v>
      </c>
      <c r="H5" s="29">
        <v>8</v>
      </c>
      <c r="I5" s="29">
        <v>96</v>
      </c>
      <c r="J5" s="29">
        <f>I5*C5</f>
        <v>67.199999999999989</v>
      </c>
      <c r="K5" s="29">
        <v>10</v>
      </c>
      <c r="L5" s="29">
        <v>120</v>
      </c>
      <c r="M5" s="29">
        <f>L5*C5</f>
        <v>84</v>
      </c>
      <c r="N5" s="29">
        <v>10</v>
      </c>
      <c r="O5" s="29">
        <v>120</v>
      </c>
      <c r="P5" s="29">
        <f>O5*C5</f>
        <v>84</v>
      </c>
      <c r="Q5" s="29">
        <v>8</v>
      </c>
      <c r="R5" s="29">
        <v>96</v>
      </c>
      <c r="S5" s="29">
        <f>R5*C5</f>
        <v>67.199999999999989</v>
      </c>
      <c r="T5" s="29">
        <v>10</v>
      </c>
      <c r="U5" s="29">
        <v>120</v>
      </c>
      <c r="V5" s="29">
        <f>U5*C5</f>
        <v>84</v>
      </c>
      <c r="W5" s="29">
        <v>20</v>
      </c>
      <c r="X5" s="29">
        <v>240</v>
      </c>
      <c r="Y5" s="29">
        <f>X5*C5</f>
        <v>168</v>
      </c>
      <c r="Z5" s="29"/>
      <c r="AA5" s="29">
        <v>0</v>
      </c>
      <c r="AB5" s="29">
        <f>AA5*C5</f>
        <v>0</v>
      </c>
      <c r="AC5" s="29">
        <v>10</v>
      </c>
      <c r="AD5" s="29">
        <v>120</v>
      </c>
      <c r="AE5" s="29">
        <f>AD5*C5</f>
        <v>84</v>
      </c>
      <c r="AF5" s="29">
        <v>5</v>
      </c>
      <c r="AG5" s="29">
        <v>60</v>
      </c>
      <c r="AH5" s="29">
        <f>AG5*C5</f>
        <v>42</v>
      </c>
      <c r="AI5" s="29"/>
      <c r="AJ5" s="29"/>
      <c r="AK5" s="29">
        <f>AJ5*C5</f>
        <v>0</v>
      </c>
      <c r="AL5" s="29">
        <v>5</v>
      </c>
      <c r="AM5" s="29">
        <v>60</v>
      </c>
      <c r="AN5" s="29">
        <f>AM5*C5</f>
        <v>42</v>
      </c>
      <c r="AO5" s="29">
        <f>E5+H5+K5+N5+Q5+T5+W5+Z5+AC5+AF5+AI5+AL5</f>
        <v>86</v>
      </c>
      <c r="AP5" s="29">
        <f t="shared" ref="AP5:AQ5" si="0">F5+I5+L5+O5+R5+U5+X5+AA5+AD5+AG5+AJ5+AM5</f>
        <v>1032</v>
      </c>
      <c r="AQ5" s="29">
        <f t="shared" si="0"/>
        <v>722.4</v>
      </c>
    </row>
    <row r="6" spans="1:43" x14ac:dyDescent="0.5">
      <c r="A6" s="29">
        <v>2</v>
      </c>
      <c r="B6" s="161" t="s">
        <v>118</v>
      </c>
      <c r="C6" s="34">
        <v>0.64</v>
      </c>
      <c r="D6" s="34" t="s">
        <v>119</v>
      </c>
      <c r="E6" s="29"/>
      <c r="F6" s="29"/>
      <c r="G6" s="29">
        <f t="shared" ref="G6:G10" si="1">F6*C6</f>
        <v>0</v>
      </c>
      <c r="H6" s="29"/>
      <c r="I6" s="29"/>
      <c r="J6" s="29">
        <f t="shared" ref="J6:J10" si="2">I6*C6</f>
        <v>0</v>
      </c>
      <c r="K6" s="29"/>
      <c r="L6" s="29"/>
      <c r="M6" s="29">
        <f t="shared" ref="M6:M10" si="3">L6*C6</f>
        <v>0</v>
      </c>
      <c r="N6" s="29"/>
      <c r="O6" s="29"/>
      <c r="P6" s="29">
        <f t="shared" ref="P6:P10" si="4">O6*C6</f>
        <v>0</v>
      </c>
      <c r="Q6" s="29"/>
      <c r="R6" s="29"/>
      <c r="S6" s="29">
        <f t="shared" ref="S6:S10" si="5">R6*C6</f>
        <v>0</v>
      </c>
      <c r="T6" s="29"/>
      <c r="U6" s="29"/>
      <c r="V6" s="29">
        <f t="shared" ref="V6:V10" si="6">U6*C6</f>
        <v>0</v>
      </c>
      <c r="W6" s="29"/>
      <c r="X6" s="29"/>
      <c r="Y6" s="29">
        <f t="shared" ref="Y6:Y10" si="7">X6*C6</f>
        <v>0</v>
      </c>
      <c r="Z6" s="29"/>
      <c r="AA6" s="29"/>
      <c r="AB6" s="29">
        <f t="shared" ref="AB6:AB10" si="8">AA6*C6</f>
        <v>0</v>
      </c>
      <c r="AC6" s="29"/>
      <c r="AD6" s="29"/>
      <c r="AE6" s="29">
        <f t="shared" ref="AE6:AE10" si="9">AD6*C6</f>
        <v>0</v>
      </c>
      <c r="AF6" s="29"/>
      <c r="AG6" s="29"/>
      <c r="AH6" s="29">
        <f t="shared" ref="AH6:AH10" si="10">AG6*C6</f>
        <v>0</v>
      </c>
      <c r="AI6" s="29"/>
      <c r="AJ6" s="29"/>
      <c r="AK6" s="29">
        <f t="shared" ref="AK6:AK10" si="11">AJ6*C6</f>
        <v>0</v>
      </c>
      <c r="AL6" s="29"/>
      <c r="AM6" s="29"/>
      <c r="AN6" s="29">
        <f t="shared" ref="AN6:AN10" si="12">AM6*C6</f>
        <v>0</v>
      </c>
      <c r="AO6" s="29">
        <f t="shared" ref="AO6:AO10" si="13">E6+H6+K6+N6+Q6+T6+W6+Z6+AC6+AF6+AI6+AL6</f>
        <v>0</v>
      </c>
      <c r="AP6" s="29">
        <f t="shared" ref="AP6:AP10" si="14">F6+I6+L6+O6+R6+U6+X6+AA6+AD6+AG6+AJ6+AM6</f>
        <v>0</v>
      </c>
      <c r="AQ6" s="29">
        <f t="shared" ref="AQ6:AQ10" si="15">G6+J6+M6+P6+S6+V6+Y6+AB6+AE6+AH6+AK6+AN6</f>
        <v>0</v>
      </c>
    </row>
    <row r="7" spans="1:43" x14ac:dyDescent="0.5">
      <c r="A7" s="29">
        <v>3</v>
      </c>
      <c r="B7" s="161" t="s">
        <v>83</v>
      </c>
      <c r="C7" s="34">
        <v>1</v>
      </c>
      <c r="D7" s="34" t="s">
        <v>135</v>
      </c>
      <c r="E7" s="29"/>
      <c r="F7" s="29"/>
      <c r="G7" s="29"/>
      <c r="H7" s="29">
        <v>6</v>
      </c>
      <c r="I7" s="29">
        <v>72</v>
      </c>
      <c r="J7" s="29">
        <f t="shared" si="2"/>
        <v>72</v>
      </c>
      <c r="K7" s="29"/>
      <c r="L7" s="29"/>
      <c r="M7" s="29"/>
      <c r="N7" s="29"/>
      <c r="O7" s="29"/>
      <c r="P7" s="29"/>
      <c r="Q7" s="29">
        <v>93</v>
      </c>
      <c r="R7" s="29">
        <v>1116</v>
      </c>
      <c r="S7" s="29">
        <f t="shared" si="5"/>
        <v>1116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>
        <f t="shared" si="13"/>
        <v>99</v>
      </c>
      <c r="AP7" s="29">
        <f t="shared" si="14"/>
        <v>1188</v>
      </c>
      <c r="AQ7" s="29">
        <f t="shared" si="15"/>
        <v>1188</v>
      </c>
    </row>
    <row r="8" spans="1:43" x14ac:dyDescent="0.5">
      <c r="A8" s="29">
        <v>4</v>
      </c>
      <c r="B8" s="161" t="s">
        <v>92</v>
      </c>
      <c r="C8" s="34">
        <v>0.64</v>
      </c>
      <c r="D8" s="34" t="s">
        <v>99</v>
      </c>
      <c r="E8" s="29"/>
      <c r="F8" s="29"/>
      <c r="G8" s="29">
        <f t="shared" si="1"/>
        <v>0</v>
      </c>
      <c r="H8" s="29"/>
      <c r="I8" s="29"/>
      <c r="J8" s="29">
        <f t="shared" si="2"/>
        <v>0</v>
      </c>
      <c r="K8" s="29"/>
      <c r="L8" s="29"/>
      <c r="M8" s="29">
        <f t="shared" si="3"/>
        <v>0</v>
      </c>
      <c r="N8" s="29"/>
      <c r="O8" s="29"/>
      <c r="P8" s="29">
        <f t="shared" si="4"/>
        <v>0</v>
      </c>
      <c r="Q8" s="29"/>
      <c r="R8" s="29"/>
      <c r="S8" s="29">
        <f t="shared" si="5"/>
        <v>0</v>
      </c>
      <c r="T8" s="29"/>
      <c r="U8" s="29">
        <v>0</v>
      </c>
      <c r="V8" s="29">
        <f t="shared" si="6"/>
        <v>0</v>
      </c>
      <c r="W8" s="29"/>
      <c r="X8" s="29"/>
      <c r="Y8" s="29">
        <f t="shared" si="7"/>
        <v>0</v>
      </c>
      <c r="Z8" s="29"/>
      <c r="AA8" s="29"/>
      <c r="AB8" s="29">
        <f t="shared" si="8"/>
        <v>0</v>
      </c>
      <c r="AC8" s="29"/>
      <c r="AD8" s="29"/>
      <c r="AE8" s="29">
        <f t="shared" si="9"/>
        <v>0</v>
      </c>
      <c r="AF8" s="29"/>
      <c r="AG8" s="29"/>
      <c r="AH8" s="29">
        <f t="shared" si="10"/>
        <v>0</v>
      </c>
      <c r="AI8" s="29"/>
      <c r="AJ8" s="29"/>
      <c r="AK8" s="29">
        <f t="shared" si="11"/>
        <v>0</v>
      </c>
      <c r="AL8" s="29"/>
      <c r="AM8" s="29"/>
      <c r="AN8" s="29"/>
      <c r="AO8" s="29">
        <f t="shared" si="13"/>
        <v>0</v>
      </c>
      <c r="AP8" s="29">
        <f t="shared" si="14"/>
        <v>0</v>
      </c>
      <c r="AQ8" s="29">
        <f t="shared" si="15"/>
        <v>0</v>
      </c>
    </row>
    <row r="9" spans="1:43" x14ac:dyDescent="0.5">
      <c r="A9" s="29">
        <v>5</v>
      </c>
      <c r="B9" s="161" t="s">
        <v>88</v>
      </c>
      <c r="C9" s="30">
        <v>0.64</v>
      </c>
      <c r="D9" s="30" t="s">
        <v>99</v>
      </c>
      <c r="E9" s="29">
        <v>50</v>
      </c>
      <c r="F9" s="29">
        <v>700</v>
      </c>
      <c r="G9" s="29">
        <f t="shared" si="1"/>
        <v>448</v>
      </c>
      <c r="H9" s="29"/>
      <c r="I9" s="29">
        <v>0</v>
      </c>
      <c r="J9" s="29">
        <f t="shared" si="2"/>
        <v>0</v>
      </c>
      <c r="K9" s="29"/>
      <c r="L9" s="29">
        <v>0</v>
      </c>
      <c r="M9" s="29">
        <f t="shared" si="3"/>
        <v>0</v>
      </c>
      <c r="N9" s="29">
        <v>50</v>
      </c>
      <c r="O9" s="29">
        <v>700</v>
      </c>
      <c r="P9" s="29">
        <f t="shared" si="4"/>
        <v>448</v>
      </c>
      <c r="Q9" s="29">
        <v>65</v>
      </c>
      <c r="R9" s="29">
        <v>910</v>
      </c>
      <c r="S9" s="29">
        <f t="shared" si="5"/>
        <v>582.4</v>
      </c>
      <c r="T9" s="29"/>
      <c r="U9" s="29">
        <v>0</v>
      </c>
      <c r="V9" s="29">
        <f t="shared" si="6"/>
        <v>0</v>
      </c>
      <c r="W9" s="29">
        <v>50</v>
      </c>
      <c r="X9" s="29">
        <v>700</v>
      </c>
      <c r="Y9" s="29">
        <f t="shared" si="7"/>
        <v>448</v>
      </c>
      <c r="Z9" s="29"/>
      <c r="AA9" s="29">
        <v>0</v>
      </c>
      <c r="AB9" s="29">
        <f t="shared" si="8"/>
        <v>0</v>
      </c>
      <c r="AC9" s="29">
        <v>50</v>
      </c>
      <c r="AD9" s="29">
        <v>700</v>
      </c>
      <c r="AE9" s="29">
        <f t="shared" si="9"/>
        <v>448</v>
      </c>
      <c r="AF9" s="29">
        <v>50</v>
      </c>
      <c r="AG9" s="29">
        <v>700</v>
      </c>
      <c r="AH9" s="29">
        <f t="shared" si="10"/>
        <v>448</v>
      </c>
      <c r="AI9" s="29">
        <v>240</v>
      </c>
      <c r="AJ9" s="29">
        <v>3360</v>
      </c>
      <c r="AK9" s="29">
        <f t="shared" si="11"/>
        <v>2150.4</v>
      </c>
      <c r="AL9" s="29">
        <v>50</v>
      </c>
      <c r="AM9" s="29">
        <v>700</v>
      </c>
      <c r="AN9" s="29">
        <f t="shared" si="12"/>
        <v>448</v>
      </c>
      <c r="AO9" s="29">
        <f t="shared" si="13"/>
        <v>605</v>
      </c>
      <c r="AP9" s="29">
        <f t="shared" si="14"/>
        <v>8470</v>
      </c>
      <c r="AQ9" s="29">
        <f t="shared" si="15"/>
        <v>5420.8</v>
      </c>
    </row>
    <row r="10" spans="1:43" x14ac:dyDescent="0.5">
      <c r="A10" s="29">
        <v>6</v>
      </c>
      <c r="B10" s="1" t="s">
        <v>89</v>
      </c>
      <c r="C10" s="34">
        <v>0.64</v>
      </c>
      <c r="D10" s="30" t="s">
        <v>99</v>
      </c>
      <c r="E10" s="29">
        <v>155</v>
      </c>
      <c r="F10" s="29">
        <v>2170</v>
      </c>
      <c r="G10" s="29">
        <f t="shared" si="1"/>
        <v>1388.8</v>
      </c>
      <c r="H10" s="29">
        <v>102</v>
      </c>
      <c r="I10" s="29">
        <v>1428</v>
      </c>
      <c r="J10" s="29">
        <f t="shared" si="2"/>
        <v>913.92000000000007</v>
      </c>
      <c r="K10" s="29">
        <v>98</v>
      </c>
      <c r="L10" s="29">
        <v>1372</v>
      </c>
      <c r="M10" s="29">
        <f t="shared" si="3"/>
        <v>878.08</v>
      </c>
      <c r="N10" s="29">
        <v>85</v>
      </c>
      <c r="O10" s="29">
        <v>1190</v>
      </c>
      <c r="P10" s="29">
        <f t="shared" si="4"/>
        <v>761.6</v>
      </c>
      <c r="Q10" s="29">
        <v>136</v>
      </c>
      <c r="R10" s="29">
        <v>1904</v>
      </c>
      <c r="S10" s="29">
        <f t="shared" si="5"/>
        <v>1218.56</v>
      </c>
      <c r="T10" s="29">
        <v>140</v>
      </c>
      <c r="U10" s="29">
        <v>1960</v>
      </c>
      <c r="V10" s="29">
        <f t="shared" si="6"/>
        <v>1254.4000000000001</v>
      </c>
      <c r="W10" s="29">
        <v>150</v>
      </c>
      <c r="X10" s="29">
        <v>2100</v>
      </c>
      <c r="Y10" s="29">
        <f t="shared" si="7"/>
        <v>1344</v>
      </c>
      <c r="Z10" s="29">
        <v>160</v>
      </c>
      <c r="AA10" s="29">
        <v>2240</v>
      </c>
      <c r="AB10" s="29">
        <f t="shared" si="8"/>
        <v>1433.6000000000001</v>
      </c>
      <c r="AC10" s="29">
        <v>75</v>
      </c>
      <c r="AD10" s="29">
        <v>1050</v>
      </c>
      <c r="AE10" s="29">
        <f t="shared" si="9"/>
        <v>672</v>
      </c>
      <c r="AF10" s="29">
        <v>190</v>
      </c>
      <c r="AG10" s="29">
        <v>2660</v>
      </c>
      <c r="AH10" s="29">
        <f t="shared" si="10"/>
        <v>1702.4</v>
      </c>
      <c r="AI10" s="29">
        <v>110</v>
      </c>
      <c r="AJ10" s="29">
        <v>1540</v>
      </c>
      <c r="AK10" s="29">
        <f t="shared" si="11"/>
        <v>985.6</v>
      </c>
      <c r="AL10" s="29">
        <v>155</v>
      </c>
      <c r="AM10" s="29">
        <v>2170</v>
      </c>
      <c r="AN10" s="29">
        <f t="shared" si="12"/>
        <v>1388.8</v>
      </c>
      <c r="AO10" s="29">
        <f t="shared" si="13"/>
        <v>1556</v>
      </c>
      <c r="AP10" s="29">
        <f t="shared" si="14"/>
        <v>21784</v>
      </c>
      <c r="AQ10" s="29">
        <f t="shared" si="15"/>
        <v>13941.76</v>
      </c>
    </row>
    <row r="11" spans="1:43" x14ac:dyDescent="0.5">
      <c r="A11" s="24"/>
      <c r="B11" s="239" t="s">
        <v>10</v>
      </c>
      <c r="C11" s="240"/>
      <c r="D11" s="241"/>
      <c r="E11" s="22">
        <f t="shared" ref="E11:AQ11" si="16">SUM(E5:E10)</f>
        <v>205</v>
      </c>
      <c r="F11" s="22">
        <f t="shared" si="16"/>
        <v>2870</v>
      </c>
      <c r="G11" s="22">
        <f t="shared" si="16"/>
        <v>1836.8</v>
      </c>
      <c r="H11" s="22">
        <f t="shared" si="16"/>
        <v>116</v>
      </c>
      <c r="I11" s="22">
        <f t="shared" si="16"/>
        <v>1596</v>
      </c>
      <c r="J11" s="22">
        <f t="shared" si="16"/>
        <v>1053.1200000000001</v>
      </c>
      <c r="K11" s="22">
        <f t="shared" si="16"/>
        <v>108</v>
      </c>
      <c r="L11" s="22">
        <f t="shared" si="16"/>
        <v>1492</v>
      </c>
      <c r="M11" s="22">
        <f t="shared" si="16"/>
        <v>962.08</v>
      </c>
      <c r="N11" s="22">
        <f t="shared" si="16"/>
        <v>145</v>
      </c>
      <c r="O11" s="22">
        <f t="shared" si="16"/>
        <v>2010</v>
      </c>
      <c r="P11" s="22">
        <f t="shared" si="16"/>
        <v>1293.5999999999999</v>
      </c>
      <c r="Q11" s="22">
        <f t="shared" si="16"/>
        <v>302</v>
      </c>
      <c r="R11" s="22">
        <f t="shared" si="16"/>
        <v>4026</v>
      </c>
      <c r="S11" s="22">
        <f t="shared" si="16"/>
        <v>2984.16</v>
      </c>
      <c r="T11" s="22">
        <f t="shared" si="16"/>
        <v>150</v>
      </c>
      <c r="U11" s="22">
        <f t="shared" si="16"/>
        <v>2080</v>
      </c>
      <c r="V11" s="22">
        <f t="shared" si="16"/>
        <v>1338.4</v>
      </c>
      <c r="W11" s="22">
        <f t="shared" si="16"/>
        <v>220</v>
      </c>
      <c r="X11" s="22">
        <f t="shared" si="16"/>
        <v>3040</v>
      </c>
      <c r="Y11" s="22">
        <f t="shared" si="16"/>
        <v>1960</v>
      </c>
      <c r="Z11" s="22">
        <f t="shared" si="16"/>
        <v>160</v>
      </c>
      <c r="AA11" s="22">
        <f t="shared" si="16"/>
        <v>2240</v>
      </c>
      <c r="AB11" s="22">
        <f t="shared" si="16"/>
        <v>1433.6000000000001</v>
      </c>
      <c r="AC11" s="22">
        <f t="shared" si="16"/>
        <v>135</v>
      </c>
      <c r="AD11" s="22">
        <f t="shared" si="16"/>
        <v>1870</v>
      </c>
      <c r="AE11" s="22">
        <f t="shared" si="16"/>
        <v>1204</v>
      </c>
      <c r="AF11" s="22">
        <f t="shared" si="16"/>
        <v>245</v>
      </c>
      <c r="AG11" s="22">
        <f t="shared" si="16"/>
        <v>3420</v>
      </c>
      <c r="AH11" s="22">
        <f t="shared" si="16"/>
        <v>2192.4</v>
      </c>
      <c r="AI11" s="22">
        <f t="shared" si="16"/>
        <v>350</v>
      </c>
      <c r="AJ11" s="22">
        <f t="shared" si="16"/>
        <v>4900</v>
      </c>
      <c r="AK11" s="22">
        <f t="shared" si="16"/>
        <v>3136</v>
      </c>
      <c r="AL11" s="22">
        <f t="shared" si="16"/>
        <v>210</v>
      </c>
      <c r="AM11" s="22">
        <f t="shared" si="16"/>
        <v>2930</v>
      </c>
      <c r="AN11" s="22">
        <f t="shared" si="16"/>
        <v>1878.8</v>
      </c>
      <c r="AO11" s="22">
        <f t="shared" si="16"/>
        <v>2346</v>
      </c>
      <c r="AP11" s="22">
        <f t="shared" si="16"/>
        <v>32474</v>
      </c>
      <c r="AQ11" s="22">
        <f t="shared" si="16"/>
        <v>21272.959999999999</v>
      </c>
    </row>
    <row r="14" spans="1:43" ht="25.15" customHeight="1" x14ac:dyDescent="0.6">
      <c r="A14" s="163"/>
      <c r="B14" s="164" t="s">
        <v>108</v>
      </c>
      <c r="C14" s="163"/>
    </row>
    <row r="15" spans="1:43" ht="15" customHeight="1" x14ac:dyDescent="0.5"/>
    <row r="16" spans="1:43" ht="42.75" customHeight="1" x14ac:dyDescent="0.6">
      <c r="A16" s="252" t="s">
        <v>52</v>
      </c>
      <c r="B16" s="252" t="s">
        <v>51</v>
      </c>
      <c r="C16" s="254" t="s">
        <v>117</v>
      </c>
      <c r="D16" s="254" t="s">
        <v>95</v>
      </c>
      <c r="E16" s="249" t="s">
        <v>114</v>
      </c>
      <c r="F16" s="250"/>
      <c r="G16" s="251"/>
      <c r="H16" s="249" t="s">
        <v>58</v>
      </c>
      <c r="I16" s="250"/>
      <c r="J16" s="251"/>
      <c r="K16" s="236" t="s">
        <v>59</v>
      </c>
      <c r="L16" s="237"/>
      <c r="M16" s="238"/>
      <c r="N16" s="236" t="s">
        <v>60</v>
      </c>
      <c r="O16" s="237"/>
      <c r="P16" s="238"/>
      <c r="Q16" s="236" t="s">
        <v>61</v>
      </c>
      <c r="R16" s="237"/>
      <c r="S16" s="238"/>
      <c r="T16" s="236" t="s">
        <v>62</v>
      </c>
      <c r="U16" s="237"/>
      <c r="V16" s="238"/>
      <c r="W16" s="236" t="s">
        <v>63</v>
      </c>
      <c r="X16" s="237"/>
      <c r="Y16" s="238"/>
      <c r="Z16" s="236" t="s">
        <v>64</v>
      </c>
      <c r="AA16" s="237"/>
      <c r="AB16" s="238"/>
      <c r="AC16" s="236" t="s">
        <v>65</v>
      </c>
      <c r="AD16" s="237"/>
      <c r="AE16" s="238"/>
      <c r="AF16" s="236" t="s">
        <v>18</v>
      </c>
      <c r="AG16" s="237"/>
      <c r="AH16" s="238"/>
      <c r="AI16" s="236" t="s">
        <v>17</v>
      </c>
      <c r="AJ16" s="237"/>
      <c r="AK16" s="238"/>
      <c r="AL16" s="236" t="s">
        <v>16</v>
      </c>
      <c r="AM16" s="237"/>
      <c r="AN16" s="238"/>
      <c r="AO16" s="236" t="s">
        <v>10</v>
      </c>
      <c r="AP16" s="237"/>
      <c r="AQ16" s="238"/>
    </row>
    <row r="17" spans="1:43" ht="25.15" customHeight="1" x14ac:dyDescent="0.5">
      <c r="A17" s="253"/>
      <c r="B17" s="253"/>
      <c r="C17" s="255"/>
      <c r="D17" s="255"/>
      <c r="E17" s="66" t="s">
        <v>50</v>
      </c>
      <c r="F17" s="66" t="s">
        <v>56</v>
      </c>
      <c r="G17" s="66" t="s">
        <v>93</v>
      </c>
      <c r="H17" s="66" t="s">
        <v>50</v>
      </c>
      <c r="I17" s="66" t="s">
        <v>56</v>
      </c>
      <c r="J17" s="66" t="s">
        <v>57</v>
      </c>
      <c r="K17" s="40" t="s">
        <v>50</v>
      </c>
      <c r="L17" s="40" t="s">
        <v>56</v>
      </c>
      <c r="M17" s="40" t="s">
        <v>57</v>
      </c>
      <c r="N17" s="40" t="s">
        <v>50</v>
      </c>
      <c r="O17" s="40" t="s">
        <v>56</v>
      </c>
      <c r="P17" s="40" t="s">
        <v>57</v>
      </c>
      <c r="Q17" s="40" t="s">
        <v>50</v>
      </c>
      <c r="R17" s="40" t="s">
        <v>56</v>
      </c>
      <c r="S17" s="40" t="s">
        <v>57</v>
      </c>
      <c r="T17" s="40" t="s">
        <v>50</v>
      </c>
      <c r="U17" s="40" t="s">
        <v>56</v>
      </c>
      <c r="V17" s="40" t="s">
        <v>57</v>
      </c>
      <c r="W17" s="40" t="s">
        <v>50</v>
      </c>
      <c r="X17" s="40" t="s">
        <v>56</v>
      </c>
      <c r="Y17" s="40" t="s">
        <v>57</v>
      </c>
      <c r="Z17" s="40" t="s">
        <v>50</v>
      </c>
      <c r="AA17" s="40" t="s">
        <v>56</v>
      </c>
      <c r="AB17" s="40" t="s">
        <v>57</v>
      </c>
      <c r="AC17" s="40" t="s">
        <v>50</v>
      </c>
      <c r="AD17" s="40" t="s">
        <v>56</v>
      </c>
      <c r="AE17" s="40" t="s">
        <v>57</v>
      </c>
      <c r="AF17" s="40" t="s">
        <v>50</v>
      </c>
      <c r="AG17" s="40" t="s">
        <v>56</v>
      </c>
      <c r="AH17" s="40" t="s">
        <v>57</v>
      </c>
      <c r="AI17" s="40" t="s">
        <v>50</v>
      </c>
      <c r="AJ17" s="40" t="s">
        <v>56</v>
      </c>
      <c r="AK17" s="40" t="s">
        <v>57</v>
      </c>
      <c r="AL17" s="40" t="s">
        <v>50</v>
      </c>
      <c r="AM17" s="40" t="s">
        <v>56</v>
      </c>
      <c r="AN17" s="40" t="s">
        <v>57</v>
      </c>
      <c r="AO17" s="40" t="s">
        <v>50</v>
      </c>
      <c r="AP17" s="40" t="s">
        <v>56</v>
      </c>
      <c r="AQ17" s="40" t="s">
        <v>57</v>
      </c>
    </row>
    <row r="18" spans="1:43" s="43" customFormat="1" ht="20.100000000000001" customHeight="1" x14ac:dyDescent="0.5">
      <c r="A18" s="29">
        <v>1</v>
      </c>
      <c r="B18" s="1" t="s">
        <v>67</v>
      </c>
      <c r="C18" s="34">
        <v>0.7</v>
      </c>
      <c r="D18" s="34" t="s">
        <v>96</v>
      </c>
      <c r="E18" s="29">
        <v>10</v>
      </c>
      <c r="F18" s="29">
        <v>120</v>
      </c>
      <c r="G18" s="29">
        <f>F18*C18</f>
        <v>84</v>
      </c>
      <c r="H18" s="29">
        <v>3</v>
      </c>
      <c r="I18" s="29">
        <v>36</v>
      </c>
      <c r="J18" s="29">
        <f>I18*C18</f>
        <v>25.2</v>
      </c>
      <c r="K18" s="29">
        <v>5</v>
      </c>
      <c r="L18" s="29">
        <v>60</v>
      </c>
      <c r="M18" s="29">
        <f>L18*C18</f>
        <v>42</v>
      </c>
      <c r="N18" s="29"/>
      <c r="O18" s="29"/>
      <c r="P18" s="29">
        <f>O18*C18</f>
        <v>0</v>
      </c>
      <c r="Q18" s="29">
        <v>5</v>
      </c>
      <c r="R18" s="29">
        <v>60</v>
      </c>
      <c r="S18" s="29">
        <f>R18*C18</f>
        <v>42</v>
      </c>
      <c r="T18" s="29">
        <v>6</v>
      </c>
      <c r="U18" s="29">
        <v>72</v>
      </c>
      <c r="V18" s="29">
        <f>U18*C18</f>
        <v>50.4</v>
      </c>
      <c r="W18" s="29"/>
      <c r="X18" s="29"/>
      <c r="Y18" s="29">
        <f>X18*C18</f>
        <v>0</v>
      </c>
      <c r="Z18" s="29">
        <v>5</v>
      </c>
      <c r="AA18" s="29">
        <v>60</v>
      </c>
      <c r="AB18" s="29">
        <v>42</v>
      </c>
      <c r="AC18" s="29"/>
      <c r="AD18" s="29"/>
      <c r="AE18" s="29"/>
      <c r="AF18" s="29">
        <v>10</v>
      </c>
      <c r="AG18" s="29">
        <v>120</v>
      </c>
      <c r="AH18" s="29">
        <v>84</v>
      </c>
      <c r="AI18" s="29"/>
      <c r="AJ18" s="29"/>
      <c r="AK18" s="29"/>
      <c r="AL18" s="29"/>
      <c r="AM18" s="29"/>
      <c r="AN18" s="29"/>
      <c r="AO18" s="29">
        <f>E18+H18+K18+N18+Q18+T18+W18+Z18+AC18+AF18+AI18+AL18</f>
        <v>44</v>
      </c>
      <c r="AP18" s="29">
        <f t="shared" ref="AP18:AQ18" si="17">F18+I18+L18+O18+R18+U18+X18+AA18+AD18+AG18+AJ18+AM18</f>
        <v>528</v>
      </c>
      <c r="AQ18" s="29">
        <f t="shared" si="17"/>
        <v>369.6</v>
      </c>
    </row>
    <row r="19" spans="1:43" s="43" customFormat="1" ht="20.100000000000001" customHeight="1" x14ac:dyDescent="0.5">
      <c r="A19" s="29">
        <v>2</v>
      </c>
      <c r="B19" s="1" t="s">
        <v>118</v>
      </c>
      <c r="C19" s="34">
        <v>0.64</v>
      </c>
      <c r="D19" s="34" t="s">
        <v>119</v>
      </c>
      <c r="E19" s="29">
        <v>10</v>
      </c>
      <c r="F19" s="29">
        <v>140</v>
      </c>
      <c r="G19" s="29">
        <f t="shared" ref="G19:G21" si="18">F19*C19</f>
        <v>89.600000000000009</v>
      </c>
      <c r="H19" s="29"/>
      <c r="I19" s="29"/>
      <c r="J19" s="29"/>
      <c r="K19" s="29">
        <v>15</v>
      </c>
      <c r="L19" s="29">
        <v>210</v>
      </c>
      <c r="M19" s="29">
        <f t="shared" ref="M19:M23" si="19">L19*C19</f>
        <v>134.4</v>
      </c>
      <c r="N19" s="29"/>
      <c r="O19" s="29"/>
      <c r="P19" s="29">
        <f t="shared" ref="P19:P21" si="20">O19*C19</f>
        <v>0</v>
      </c>
      <c r="Q19" s="29">
        <v>20</v>
      </c>
      <c r="R19" s="29">
        <v>280</v>
      </c>
      <c r="S19" s="29">
        <f t="shared" ref="S19:S23" si="21">R19*C19</f>
        <v>179.20000000000002</v>
      </c>
      <c r="T19" s="29">
        <v>25</v>
      </c>
      <c r="U19" s="29">
        <v>350</v>
      </c>
      <c r="V19" s="29">
        <f t="shared" ref="V19:V23" si="22">U19*C19</f>
        <v>224</v>
      </c>
      <c r="W19" s="29">
        <v>15</v>
      </c>
      <c r="X19" s="29">
        <v>210</v>
      </c>
      <c r="Y19" s="29">
        <f t="shared" ref="Y19:Y23" si="23">X19*C19</f>
        <v>134.4</v>
      </c>
      <c r="Z19" s="29">
        <v>10</v>
      </c>
      <c r="AA19" s="29">
        <v>140</v>
      </c>
      <c r="AB19" s="29">
        <v>89.600000000000009</v>
      </c>
      <c r="AC19" s="29">
        <v>10</v>
      </c>
      <c r="AD19" s="29">
        <v>140</v>
      </c>
      <c r="AE19" s="29">
        <v>89.600000000000009</v>
      </c>
      <c r="AF19" s="29"/>
      <c r="AG19" s="29"/>
      <c r="AH19" s="29"/>
      <c r="AI19" s="29">
        <v>10</v>
      </c>
      <c r="AJ19" s="29">
        <v>140</v>
      </c>
      <c r="AK19" s="29">
        <v>89.600000000000009</v>
      </c>
      <c r="AL19" s="29"/>
      <c r="AM19" s="29"/>
      <c r="AN19" s="29"/>
      <c r="AO19" s="29">
        <f t="shared" ref="AO19:AO23" si="24">E19+H19+K19+N19+Q19+T19+W19+Z19+AC19+AF19+AI19+AL19</f>
        <v>115</v>
      </c>
      <c r="AP19" s="29">
        <f t="shared" ref="AP19:AP23" si="25">F19+I19+L19+O19+R19+U19+X19+AA19+AD19+AG19+AJ19+AM19</f>
        <v>1610</v>
      </c>
      <c r="AQ19" s="29">
        <f t="shared" ref="AQ19:AQ23" si="26">G19+J19+M19+P19+S19+V19+Y19+AB19+AE19+AH19+AK19+AN19</f>
        <v>1030.4000000000001</v>
      </c>
    </row>
    <row r="20" spans="1:43" ht="20.100000000000001" customHeight="1" x14ac:dyDescent="0.5">
      <c r="A20" s="29">
        <v>3</v>
      </c>
      <c r="B20" s="1" t="s">
        <v>73</v>
      </c>
      <c r="C20" s="30">
        <v>0.64</v>
      </c>
      <c r="D20" s="30" t="s">
        <v>99</v>
      </c>
      <c r="E20" s="28"/>
      <c r="F20" s="28"/>
      <c r="G20" s="29">
        <f t="shared" si="18"/>
        <v>0</v>
      </c>
      <c r="H20" s="28"/>
      <c r="I20" s="28"/>
      <c r="J20" s="29">
        <f t="shared" ref="J20:J23" si="27">I20*C20</f>
        <v>0</v>
      </c>
      <c r="K20" s="28"/>
      <c r="L20" s="28"/>
      <c r="M20" s="29">
        <f t="shared" si="19"/>
        <v>0</v>
      </c>
      <c r="N20" s="28"/>
      <c r="O20" s="28"/>
      <c r="P20" s="29">
        <f t="shared" si="20"/>
        <v>0</v>
      </c>
      <c r="Q20" s="28"/>
      <c r="R20" s="28"/>
      <c r="S20" s="29">
        <f t="shared" si="21"/>
        <v>0</v>
      </c>
      <c r="T20" s="28"/>
      <c r="U20" s="28"/>
      <c r="V20" s="29">
        <f t="shared" si="22"/>
        <v>0</v>
      </c>
      <c r="W20" s="28"/>
      <c r="X20" s="28"/>
      <c r="Y20" s="29">
        <f t="shared" si="23"/>
        <v>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9">
        <f t="shared" si="24"/>
        <v>0</v>
      </c>
      <c r="AP20" s="29">
        <f t="shared" si="25"/>
        <v>0</v>
      </c>
      <c r="AQ20" s="29">
        <f t="shared" si="26"/>
        <v>0</v>
      </c>
    </row>
    <row r="21" spans="1:43" ht="20.100000000000001" customHeight="1" x14ac:dyDescent="0.5">
      <c r="A21" s="29">
        <v>4</v>
      </c>
      <c r="B21" s="1" t="s">
        <v>88</v>
      </c>
      <c r="C21" s="30">
        <v>0.64</v>
      </c>
      <c r="D21" s="30" t="s">
        <v>99</v>
      </c>
      <c r="E21" s="28"/>
      <c r="F21" s="28"/>
      <c r="G21" s="29">
        <f t="shared" si="18"/>
        <v>0</v>
      </c>
      <c r="H21" s="28">
        <v>60</v>
      </c>
      <c r="I21" s="28">
        <v>840</v>
      </c>
      <c r="J21" s="29">
        <f t="shared" si="27"/>
        <v>537.6</v>
      </c>
      <c r="K21" s="28">
        <v>10</v>
      </c>
      <c r="L21" s="28">
        <v>140</v>
      </c>
      <c r="M21" s="29">
        <f t="shared" si="19"/>
        <v>89.600000000000009</v>
      </c>
      <c r="N21" s="28"/>
      <c r="O21" s="28"/>
      <c r="P21" s="29">
        <f t="shared" si="20"/>
        <v>0</v>
      </c>
      <c r="Q21" s="28">
        <v>55</v>
      </c>
      <c r="R21" s="28">
        <v>770</v>
      </c>
      <c r="S21" s="29">
        <f t="shared" si="21"/>
        <v>492.8</v>
      </c>
      <c r="T21" s="28">
        <v>3</v>
      </c>
      <c r="U21" s="28">
        <v>42</v>
      </c>
      <c r="V21" s="29">
        <f t="shared" si="22"/>
        <v>26.88</v>
      </c>
      <c r="W21" s="28"/>
      <c r="X21" s="28"/>
      <c r="Y21" s="29">
        <f t="shared" si="23"/>
        <v>0</v>
      </c>
      <c r="Z21" s="28">
        <v>50</v>
      </c>
      <c r="AA21" s="28">
        <v>700</v>
      </c>
      <c r="AB21" s="28">
        <v>448</v>
      </c>
      <c r="AC21" s="28"/>
      <c r="AD21" s="28"/>
      <c r="AE21" s="28"/>
      <c r="AF21" s="28">
        <v>5</v>
      </c>
      <c r="AG21" s="28">
        <v>70</v>
      </c>
      <c r="AH21" s="28">
        <v>44.800000000000004</v>
      </c>
      <c r="AI21" s="28">
        <v>50</v>
      </c>
      <c r="AJ21" s="28">
        <v>700</v>
      </c>
      <c r="AK21" s="28">
        <v>448</v>
      </c>
      <c r="AL21" s="28"/>
      <c r="AM21" s="28"/>
      <c r="AN21" s="28"/>
      <c r="AO21" s="29">
        <f t="shared" si="24"/>
        <v>233</v>
      </c>
      <c r="AP21" s="29">
        <f t="shared" si="25"/>
        <v>3262</v>
      </c>
      <c r="AQ21" s="29">
        <f t="shared" si="26"/>
        <v>2087.6800000000003</v>
      </c>
    </row>
    <row r="22" spans="1:43" ht="20.100000000000001" customHeight="1" x14ac:dyDescent="0.5">
      <c r="A22" s="29">
        <v>5</v>
      </c>
      <c r="B22" s="1" t="s">
        <v>83</v>
      </c>
      <c r="C22" s="30"/>
      <c r="D22" s="30"/>
      <c r="E22" s="28"/>
      <c r="F22" s="28"/>
      <c r="G22" s="29"/>
      <c r="H22" s="28"/>
      <c r="I22" s="28"/>
      <c r="J22" s="29"/>
      <c r="K22" s="28"/>
      <c r="L22" s="28"/>
      <c r="M22" s="29"/>
      <c r="N22" s="28"/>
      <c r="O22" s="28"/>
      <c r="P22" s="29"/>
      <c r="Q22" s="28"/>
      <c r="R22" s="28"/>
      <c r="S22" s="29"/>
      <c r="T22" s="28"/>
      <c r="U22" s="28"/>
      <c r="V22" s="29"/>
      <c r="W22" s="28"/>
      <c r="X22" s="28"/>
      <c r="Y22" s="29"/>
      <c r="Z22" s="28"/>
      <c r="AA22" s="28"/>
      <c r="AB22" s="28"/>
      <c r="AC22" s="28">
        <v>50</v>
      </c>
      <c r="AD22" s="28">
        <v>600</v>
      </c>
      <c r="AE22" s="28">
        <v>600</v>
      </c>
      <c r="AF22" s="28"/>
      <c r="AG22" s="28"/>
      <c r="AH22" s="28"/>
      <c r="AI22" s="28"/>
      <c r="AJ22" s="28"/>
      <c r="AK22" s="28"/>
      <c r="AL22" s="28"/>
      <c r="AM22" s="28"/>
      <c r="AN22" s="28"/>
      <c r="AO22" s="29"/>
      <c r="AP22" s="29"/>
      <c r="AQ22" s="29"/>
    </row>
    <row r="23" spans="1:43" ht="20.100000000000001" customHeight="1" x14ac:dyDescent="0.5">
      <c r="A23" s="29">
        <v>6</v>
      </c>
      <c r="B23" s="1" t="s">
        <v>89</v>
      </c>
      <c r="C23" s="34">
        <v>0.64</v>
      </c>
      <c r="D23" s="30" t="s">
        <v>99</v>
      </c>
      <c r="E23" s="28">
        <v>95</v>
      </c>
      <c r="F23" s="28">
        <v>1330</v>
      </c>
      <c r="G23" s="29">
        <f t="shared" ref="G23" si="28">F23*C23</f>
        <v>851.2</v>
      </c>
      <c r="H23" s="28">
        <v>115</v>
      </c>
      <c r="I23" s="28">
        <v>1610</v>
      </c>
      <c r="J23" s="29">
        <f t="shared" si="27"/>
        <v>1030.4000000000001</v>
      </c>
      <c r="K23" s="28">
        <v>135</v>
      </c>
      <c r="L23" s="28">
        <v>1890</v>
      </c>
      <c r="M23" s="29">
        <f t="shared" si="19"/>
        <v>1209.6000000000001</v>
      </c>
      <c r="N23" s="28">
        <v>50</v>
      </c>
      <c r="O23" s="28">
        <v>700</v>
      </c>
      <c r="P23" s="28">
        <f>O23*C23</f>
        <v>448</v>
      </c>
      <c r="Q23" s="28">
        <v>100</v>
      </c>
      <c r="R23" s="28">
        <v>1400</v>
      </c>
      <c r="S23" s="29">
        <f t="shared" si="21"/>
        <v>896</v>
      </c>
      <c r="T23" s="28">
        <v>155</v>
      </c>
      <c r="U23" s="28">
        <v>2170</v>
      </c>
      <c r="V23" s="29">
        <f t="shared" si="22"/>
        <v>1388.8</v>
      </c>
      <c r="W23" s="28">
        <v>50</v>
      </c>
      <c r="X23" s="28">
        <v>700</v>
      </c>
      <c r="Y23" s="29">
        <f t="shared" si="23"/>
        <v>448</v>
      </c>
      <c r="Z23" s="28">
        <v>74</v>
      </c>
      <c r="AA23" s="28">
        <v>1036</v>
      </c>
      <c r="AB23" s="28">
        <v>663.04</v>
      </c>
      <c r="AC23" s="28">
        <v>80</v>
      </c>
      <c r="AD23" s="28">
        <v>1120</v>
      </c>
      <c r="AE23" s="28">
        <v>716.8</v>
      </c>
      <c r="AF23" s="28">
        <v>80</v>
      </c>
      <c r="AG23" s="28">
        <v>1120</v>
      </c>
      <c r="AH23" s="28">
        <v>716.8</v>
      </c>
      <c r="AI23" s="28">
        <v>100</v>
      </c>
      <c r="AJ23" s="28">
        <v>1400</v>
      </c>
      <c r="AK23" s="28">
        <v>896</v>
      </c>
      <c r="AL23" s="28">
        <v>100</v>
      </c>
      <c r="AM23" s="28">
        <v>1400</v>
      </c>
      <c r="AN23" s="28">
        <v>896</v>
      </c>
      <c r="AO23" s="29">
        <f t="shared" si="24"/>
        <v>1134</v>
      </c>
      <c r="AP23" s="29">
        <f t="shared" si="25"/>
        <v>15876</v>
      </c>
      <c r="AQ23" s="29">
        <f t="shared" si="26"/>
        <v>10160.640000000001</v>
      </c>
    </row>
    <row r="24" spans="1:43" s="41" customFormat="1" ht="20.100000000000001" customHeight="1" x14ac:dyDescent="0.5">
      <c r="A24" s="24"/>
      <c r="B24" s="239" t="s">
        <v>10</v>
      </c>
      <c r="C24" s="240"/>
      <c r="D24" s="241"/>
      <c r="E24" s="22">
        <f t="shared" ref="E24:AN24" si="29">SUM(E18:E23)</f>
        <v>115</v>
      </c>
      <c r="F24" s="22">
        <f t="shared" si="29"/>
        <v>1590</v>
      </c>
      <c r="G24" s="22">
        <f t="shared" si="29"/>
        <v>1024.8000000000002</v>
      </c>
      <c r="H24" s="22">
        <f t="shared" si="29"/>
        <v>178</v>
      </c>
      <c r="I24" s="22">
        <f t="shared" si="29"/>
        <v>2486</v>
      </c>
      <c r="J24" s="22">
        <f>SUM(J18:J23)</f>
        <v>1593.2000000000003</v>
      </c>
      <c r="K24" s="22">
        <f t="shared" si="29"/>
        <v>165</v>
      </c>
      <c r="L24" s="22">
        <f t="shared" si="29"/>
        <v>2300</v>
      </c>
      <c r="M24" s="22">
        <f t="shared" si="29"/>
        <v>1475.6000000000001</v>
      </c>
      <c r="N24" s="22">
        <f t="shared" si="29"/>
        <v>50</v>
      </c>
      <c r="O24" s="22">
        <f t="shared" si="29"/>
        <v>700</v>
      </c>
      <c r="P24" s="22">
        <f t="shared" si="29"/>
        <v>448</v>
      </c>
      <c r="Q24" s="22">
        <f t="shared" si="29"/>
        <v>180</v>
      </c>
      <c r="R24" s="22">
        <f t="shared" si="29"/>
        <v>2510</v>
      </c>
      <c r="S24" s="22">
        <f t="shared" si="29"/>
        <v>1610</v>
      </c>
      <c r="T24" s="22">
        <f t="shared" si="29"/>
        <v>189</v>
      </c>
      <c r="U24" s="22">
        <f t="shared" si="29"/>
        <v>2634</v>
      </c>
      <c r="V24" s="22">
        <f t="shared" si="29"/>
        <v>1690.08</v>
      </c>
      <c r="W24" s="22">
        <f>SUM(W18:W23)</f>
        <v>65</v>
      </c>
      <c r="X24" s="22">
        <f t="shared" si="29"/>
        <v>910</v>
      </c>
      <c r="Y24" s="22">
        <f t="shared" si="29"/>
        <v>582.4</v>
      </c>
      <c r="Z24" s="22">
        <f t="shared" si="29"/>
        <v>139</v>
      </c>
      <c r="AA24" s="22">
        <f>SUM(AA18:AA23)</f>
        <v>1936</v>
      </c>
      <c r="AB24" s="22">
        <f t="shared" si="29"/>
        <v>1242.6399999999999</v>
      </c>
      <c r="AC24" s="22">
        <f t="shared" si="29"/>
        <v>140</v>
      </c>
      <c r="AD24" s="22">
        <f t="shared" si="29"/>
        <v>1860</v>
      </c>
      <c r="AE24" s="22">
        <f t="shared" si="29"/>
        <v>1406.4</v>
      </c>
      <c r="AF24" s="22">
        <f t="shared" si="29"/>
        <v>95</v>
      </c>
      <c r="AG24" s="22">
        <f t="shared" si="29"/>
        <v>1310</v>
      </c>
      <c r="AH24" s="22">
        <f t="shared" si="29"/>
        <v>845.59999999999991</v>
      </c>
      <c r="AI24" s="22">
        <f t="shared" si="29"/>
        <v>160</v>
      </c>
      <c r="AJ24" s="22">
        <f t="shared" si="29"/>
        <v>2240</v>
      </c>
      <c r="AK24" s="22">
        <f t="shared" si="29"/>
        <v>1433.6</v>
      </c>
      <c r="AL24" s="22">
        <f t="shared" si="29"/>
        <v>100</v>
      </c>
      <c r="AM24" s="22">
        <f t="shared" si="29"/>
        <v>1400</v>
      </c>
      <c r="AN24" s="22">
        <f t="shared" si="29"/>
        <v>896</v>
      </c>
      <c r="AO24" s="22">
        <f t="shared" ref="AO24:AQ24" si="30">SUM(AO18:AO23)</f>
        <v>1526</v>
      </c>
      <c r="AP24" s="22">
        <f t="shared" si="30"/>
        <v>21276</v>
      </c>
      <c r="AQ24" s="22">
        <f t="shared" si="30"/>
        <v>13648.320000000002</v>
      </c>
    </row>
    <row r="25" spans="1:43" ht="24" hidden="1" customHeight="1" x14ac:dyDescent="0.5">
      <c r="A25" s="39"/>
      <c r="B25" s="30"/>
      <c r="C25" s="30"/>
      <c r="D25" s="30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ht="25.15" hidden="1" customHeight="1" x14ac:dyDescent="0.5">
      <c r="A26" s="39">
        <v>1</v>
      </c>
      <c r="B26" s="30" t="s">
        <v>6</v>
      </c>
      <c r="C26" s="1">
        <v>0.7</v>
      </c>
      <c r="D26" s="1" t="s">
        <v>96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ht="25.15" hidden="1" customHeight="1" x14ac:dyDescent="0.5">
      <c r="A27" s="39">
        <v>2</v>
      </c>
      <c r="B27" s="30" t="s">
        <v>5</v>
      </c>
      <c r="C27" s="1">
        <v>0.35</v>
      </c>
      <c r="D27" s="1" t="s">
        <v>98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ht="25.15" hidden="1" customHeight="1" x14ac:dyDescent="0.5">
      <c r="A28" s="39">
        <v>3</v>
      </c>
      <c r="B28" s="30" t="s">
        <v>4</v>
      </c>
      <c r="C28" s="1">
        <v>0.17499999999999999</v>
      </c>
      <c r="D28" s="1" t="s">
        <v>100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ht="25.15" hidden="1" customHeight="1" x14ac:dyDescent="0.5">
      <c r="A29" s="39">
        <v>4</v>
      </c>
      <c r="B29" s="30" t="s">
        <v>3</v>
      </c>
      <c r="C29" s="1">
        <v>0.7</v>
      </c>
      <c r="D29" s="1" t="s">
        <v>96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ht="25.15" hidden="1" customHeight="1" x14ac:dyDescent="0.5">
      <c r="A30" s="39">
        <v>5</v>
      </c>
      <c r="B30" s="30" t="s">
        <v>2</v>
      </c>
      <c r="C30" s="1">
        <v>0.35</v>
      </c>
      <c r="D30" s="1" t="s">
        <v>98</v>
      </c>
      <c r="E30" s="29"/>
      <c r="F30" s="29"/>
      <c r="G30" s="29">
        <f>F30*C30</f>
        <v>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ht="25.15" hidden="1" customHeight="1" x14ac:dyDescent="0.5">
      <c r="A31" s="39">
        <v>6</v>
      </c>
      <c r="B31" s="30" t="s">
        <v>1</v>
      </c>
      <c r="C31" s="1">
        <v>0.17499999999999999</v>
      </c>
      <c r="D31" s="1" t="s">
        <v>100</v>
      </c>
      <c r="E31" s="29"/>
      <c r="F31" s="29"/>
      <c r="G31" s="29">
        <f t="shared" ref="G31:G33" si="31">F31*C31</f>
        <v>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ht="25.15" hidden="1" customHeight="1" x14ac:dyDescent="0.5">
      <c r="A32" s="39">
        <v>7</v>
      </c>
      <c r="B32" s="30" t="s">
        <v>0</v>
      </c>
      <c r="C32" s="1">
        <v>0.7</v>
      </c>
      <c r="D32" s="1" t="s">
        <v>96</v>
      </c>
      <c r="E32" s="29"/>
      <c r="F32" s="29"/>
      <c r="G32" s="29">
        <f t="shared" si="31"/>
        <v>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  <row r="33" spans="1:43" ht="25.15" hidden="1" customHeight="1" x14ac:dyDescent="0.5">
      <c r="A33" s="39">
        <v>8</v>
      </c>
      <c r="B33" s="30" t="s">
        <v>8</v>
      </c>
      <c r="C33" s="1">
        <v>0.7</v>
      </c>
      <c r="D33" s="1" t="s">
        <v>96</v>
      </c>
      <c r="E33" s="29"/>
      <c r="F33" s="29"/>
      <c r="G33" s="29">
        <f t="shared" si="31"/>
        <v>0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</row>
    <row r="34" spans="1:43" ht="25.15" hidden="1" customHeight="1" x14ac:dyDescent="0.5">
      <c r="A34" s="39">
        <v>9</v>
      </c>
      <c r="B34" s="30" t="s">
        <v>7</v>
      </c>
      <c r="C34" s="1">
        <v>0.35</v>
      </c>
      <c r="D34" s="1" t="s">
        <v>98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</row>
    <row r="35" spans="1:43" ht="25.15" hidden="1" customHeight="1" x14ac:dyDescent="0.5">
      <c r="A35" s="46"/>
      <c r="B35" s="239" t="s">
        <v>10</v>
      </c>
      <c r="C35" s="240"/>
      <c r="D35" s="241"/>
      <c r="E35" s="22">
        <f t="shared" ref="E35:AN35" si="32">SUM(E26:E34)</f>
        <v>0</v>
      </c>
      <c r="F35" s="22">
        <f t="shared" si="32"/>
        <v>0</v>
      </c>
      <c r="G35" s="22">
        <f>SUM(G26:G34)</f>
        <v>0</v>
      </c>
      <c r="H35" s="22">
        <f t="shared" si="32"/>
        <v>0</v>
      </c>
      <c r="I35" s="22">
        <f t="shared" si="32"/>
        <v>0</v>
      </c>
      <c r="J35" s="22">
        <f t="shared" si="32"/>
        <v>0</v>
      </c>
      <c r="K35" s="22">
        <f t="shared" si="32"/>
        <v>0</v>
      </c>
      <c r="L35" s="22">
        <f t="shared" si="32"/>
        <v>0</v>
      </c>
      <c r="M35" s="22">
        <f t="shared" si="32"/>
        <v>0</v>
      </c>
      <c r="N35" s="22">
        <f t="shared" si="32"/>
        <v>0</v>
      </c>
      <c r="O35" s="22">
        <f t="shared" si="32"/>
        <v>0</v>
      </c>
      <c r="P35" s="22">
        <f t="shared" si="32"/>
        <v>0</v>
      </c>
      <c r="Q35" s="22">
        <f t="shared" si="32"/>
        <v>0</v>
      </c>
      <c r="R35" s="22">
        <f t="shared" si="32"/>
        <v>0</v>
      </c>
      <c r="S35" s="22">
        <f t="shared" si="32"/>
        <v>0</v>
      </c>
      <c r="T35" s="22">
        <f t="shared" si="32"/>
        <v>0</v>
      </c>
      <c r="U35" s="22">
        <f t="shared" si="32"/>
        <v>0</v>
      </c>
      <c r="V35" s="22">
        <f t="shared" si="32"/>
        <v>0</v>
      </c>
      <c r="W35" s="22">
        <f t="shared" si="32"/>
        <v>0</v>
      </c>
      <c r="X35" s="22">
        <f t="shared" si="32"/>
        <v>0</v>
      </c>
      <c r="Y35" s="22">
        <f t="shared" si="32"/>
        <v>0</v>
      </c>
      <c r="Z35" s="22">
        <f t="shared" si="32"/>
        <v>0</v>
      </c>
      <c r="AA35" s="22">
        <f t="shared" si="32"/>
        <v>0</v>
      </c>
      <c r="AB35" s="22">
        <f t="shared" si="32"/>
        <v>0</v>
      </c>
      <c r="AC35" s="22">
        <f t="shared" si="32"/>
        <v>0</v>
      </c>
      <c r="AD35" s="22">
        <f t="shared" si="32"/>
        <v>0</v>
      </c>
      <c r="AE35" s="22">
        <f t="shared" si="32"/>
        <v>0</v>
      </c>
      <c r="AF35" s="22">
        <f t="shared" si="32"/>
        <v>0</v>
      </c>
      <c r="AG35" s="22">
        <f t="shared" si="32"/>
        <v>0</v>
      </c>
      <c r="AH35" s="22">
        <f t="shared" si="32"/>
        <v>0</v>
      </c>
      <c r="AI35" s="22">
        <f t="shared" si="32"/>
        <v>0</v>
      </c>
      <c r="AJ35" s="22">
        <f t="shared" si="32"/>
        <v>0</v>
      </c>
      <c r="AK35" s="22">
        <f t="shared" si="32"/>
        <v>0</v>
      </c>
      <c r="AL35" s="22">
        <f t="shared" si="32"/>
        <v>0</v>
      </c>
      <c r="AM35" s="22">
        <f t="shared" si="32"/>
        <v>0</v>
      </c>
      <c r="AN35" s="22">
        <f t="shared" si="32"/>
        <v>0</v>
      </c>
      <c r="AO35" s="22">
        <f t="shared" ref="AO35:AQ35" si="33">SUM(AO26:AO34)</f>
        <v>0</v>
      </c>
      <c r="AP35" s="22">
        <f t="shared" si="33"/>
        <v>0</v>
      </c>
      <c r="AQ35" s="22">
        <f t="shared" si="33"/>
        <v>0</v>
      </c>
    </row>
    <row r="36" spans="1:43" s="44" customFormat="1" ht="25.15" hidden="1" customHeight="1" x14ac:dyDescent="0.5">
      <c r="A36" s="45"/>
      <c r="B36" s="242" t="s">
        <v>49</v>
      </c>
      <c r="C36" s="243"/>
      <c r="D36" s="244"/>
      <c r="E36" s="38">
        <f t="shared" ref="E36:F36" si="34">E24+E35</f>
        <v>115</v>
      </c>
      <c r="F36" s="38">
        <f t="shared" si="34"/>
        <v>1590</v>
      </c>
      <c r="G36" s="38">
        <f>G24+G35</f>
        <v>1024.8000000000002</v>
      </c>
      <c r="H36" s="38">
        <f t="shared" ref="H36" si="35">H24+H35</f>
        <v>178</v>
      </c>
      <c r="I36" s="38"/>
      <c r="J36" s="37">
        <f t="shared" ref="J36:K36" si="36">J24+J35</f>
        <v>1593.2000000000003</v>
      </c>
      <c r="K36" s="38">
        <f t="shared" si="36"/>
        <v>165</v>
      </c>
      <c r="L36" s="38"/>
      <c r="M36" s="37">
        <f t="shared" ref="M36:N36" si="37">M24+M35</f>
        <v>1475.6000000000001</v>
      </c>
      <c r="N36" s="38">
        <f t="shared" si="37"/>
        <v>50</v>
      </c>
      <c r="O36" s="38"/>
      <c r="P36" s="37">
        <f t="shared" ref="P36:Q36" si="38">P24+P35</f>
        <v>448</v>
      </c>
      <c r="Q36" s="38">
        <f t="shared" si="38"/>
        <v>180</v>
      </c>
      <c r="R36" s="38"/>
      <c r="S36" s="37">
        <f t="shared" ref="S36:T36" si="39">S24+S35</f>
        <v>1610</v>
      </c>
      <c r="T36" s="38">
        <f t="shared" si="39"/>
        <v>189</v>
      </c>
      <c r="U36" s="38"/>
      <c r="V36" s="37">
        <f t="shared" ref="V36:W36" si="40">V24+V35</f>
        <v>1690.08</v>
      </c>
      <c r="W36" s="38">
        <f t="shared" si="40"/>
        <v>65</v>
      </c>
      <c r="X36" s="38"/>
      <c r="Y36" s="37">
        <f t="shared" ref="Y36:Z36" si="41">Y24+Y35</f>
        <v>582.4</v>
      </c>
      <c r="Z36" s="38">
        <f t="shared" si="41"/>
        <v>139</v>
      </c>
      <c r="AA36" s="38"/>
      <c r="AB36" s="37">
        <f t="shared" ref="AB36:AC36" si="42">AB24+AB35</f>
        <v>1242.6399999999999</v>
      </c>
      <c r="AC36" s="38">
        <f t="shared" si="42"/>
        <v>140</v>
      </c>
      <c r="AD36" s="38"/>
      <c r="AE36" s="37">
        <f t="shared" ref="AE36:AF36" si="43">AE24+AE35</f>
        <v>1406.4</v>
      </c>
      <c r="AF36" s="38">
        <f t="shared" si="43"/>
        <v>95</v>
      </c>
      <c r="AG36" s="38"/>
      <c r="AH36" s="37">
        <f t="shared" ref="AH36:AI36" si="44">AH24+AH35</f>
        <v>845.59999999999991</v>
      </c>
      <c r="AI36" s="38">
        <f t="shared" si="44"/>
        <v>160</v>
      </c>
      <c r="AJ36" s="38"/>
      <c r="AK36" s="37">
        <f t="shared" ref="AK36:AL36" si="45">AK24+AK35</f>
        <v>1433.6</v>
      </c>
      <c r="AL36" s="38">
        <f t="shared" si="45"/>
        <v>100</v>
      </c>
      <c r="AM36" s="38"/>
      <c r="AN36" s="37">
        <f t="shared" ref="AN36:AO36" si="46">AN24+AN35</f>
        <v>896</v>
      </c>
      <c r="AO36" s="38">
        <f t="shared" si="46"/>
        <v>1526</v>
      </c>
      <c r="AP36" s="38"/>
      <c r="AQ36" s="37">
        <f t="shared" ref="AQ36" si="47">AQ24+AQ35</f>
        <v>13648.320000000002</v>
      </c>
    </row>
    <row r="38" spans="1:43" x14ac:dyDescent="0.5">
      <c r="F38" s="53"/>
      <c r="G38" s="53"/>
    </row>
    <row r="40" spans="1:43" ht="25.15" customHeight="1" x14ac:dyDescent="0.6">
      <c r="A40" s="163"/>
      <c r="B40" s="164" t="s">
        <v>163</v>
      </c>
      <c r="C40" s="163"/>
    </row>
    <row r="41" spans="1:43" ht="15" customHeight="1" x14ac:dyDescent="0.5"/>
    <row r="42" spans="1:43" ht="42.75" customHeight="1" x14ac:dyDescent="0.6">
      <c r="A42" s="252" t="s">
        <v>52</v>
      </c>
      <c r="B42" s="252" t="s">
        <v>51</v>
      </c>
      <c r="C42" s="254" t="s">
        <v>117</v>
      </c>
      <c r="D42" s="254" t="s">
        <v>95</v>
      </c>
      <c r="E42" s="249" t="s">
        <v>114</v>
      </c>
      <c r="F42" s="250"/>
      <c r="G42" s="251"/>
      <c r="H42" s="249" t="s">
        <v>58</v>
      </c>
      <c r="I42" s="250"/>
      <c r="J42" s="251"/>
      <c r="K42" s="236" t="s">
        <v>59</v>
      </c>
      <c r="L42" s="237"/>
      <c r="M42" s="238"/>
      <c r="N42" s="236" t="s">
        <v>60</v>
      </c>
      <c r="O42" s="237"/>
      <c r="P42" s="238"/>
      <c r="Q42" s="236" t="s">
        <v>61</v>
      </c>
      <c r="R42" s="237"/>
      <c r="S42" s="238"/>
      <c r="T42" s="236" t="s">
        <v>62</v>
      </c>
      <c r="U42" s="237"/>
      <c r="V42" s="238"/>
      <c r="W42" s="236" t="s">
        <v>63</v>
      </c>
      <c r="X42" s="237"/>
      <c r="Y42" s="238"/>
      <c r="Z42" s="236" t="s">
        <v>64</v>
      </c>
      <c r="AA42" s="237"/>
      <c r="AB42" s="238"/>
      <c r="AC42" s="236" t="s">
        <v>65</v>
      </c>
      <c r="AD42" s="237"/>
      <c r="AE42" s="238"/>
      <c r="AF42" s="236" t="s">
        <v>18</v>
      </c>
      <c r="AG42" s="237"/>
      <c r="AH42" s="238"/>
      <c r="AI42" s="236" t="s">
        <v>17</v>
      </c>
      <c r="AJ42" s="237"/>
      <c r="AK42" s="238"/>
      <c r="AL42" s="236" t="s">
        <v>16</v>
      </c>
      <c r="AM42" s="237"/>
      <c r="AN42" s="238"/>
      <c r="AO42" s="236" t="s">
        <v>10</v>
      </c>
      <c r="AP42" s="237"/>
      <c r="AQ42" s="238"/>
    </row>
    <row r="43" spans="1:43" ht="25.15" customHeight="1" x14ac:dyDescent="0.5">
      <c r="A43" s="253"/>
      <c r="B43" s="253"/>
      <c r="C43" s="255"/>
      <c r="D43" s="255"/>
      <c r="E43" s="66" t="s">
        <v>50</v>
      </c>
      <c r="F43" s="66" t="s">
        <v>56</v>
      </c>
      <c r="G43" s="66" t="s">
        <v>93</v>
      </c>
      <c r="H43" s="66" t="s">
        <v>50</v>
      </c>
      <c r="I43" s="66" t="s">
        <v>56</v>
      </c>
      <c r="J43" s="66" t="s">
        <v>57</v>
      </c>
      <c r="K43" s="40" t="s">
        <v>50</v>
      </c>
      <c r="L43" s="40" t="s">
        <v>56</v>
      </c>
      <c r="M43" s="40" t="s">
        <v>57</v>
      </c>
      <c r="N43" s="40" t="s">
        <v>50</v>
      </c>
      <c r="O43" s="40" t="s">
        <v>56</v>
      </c>
      <c r="P43" s="40" t="s">
        <v>57</v>
      </c>
      <c r="Q43" s="40" t="s">
        <v>50</v>
      </c>
      <c r="R43" s="40" t="s">
        <v>56</v>
      </c>
      <c r="S43" s="40" t="s">
        <v>57</v>
      </c>
      <c r="T43" s="40" t="s">
        <v>50</v>
      </c>
      <c r="U43" s="40" t="s">
        <v>56</v>
      </c>
      <c r="V43" s="40" t="s">
        <v>57</v>
      </c>
      <c r="W43" s="40" t="s">
        <v>50</v>
      </c>
      <c r="X43" s="40" t="s">
        <v>56</v>
      </c>
      <c r="Y43" s="40" t="s">
        <v>57</v>
      </c>
      <c r="Z43" s="40" t="s">
        <v>50</v>
      </c>
      <c r="AA43" s="40" t="s">
        <v>56</v>
      </c>
      <c r="AB43" s="40" t="s">
        <v>57</v>
      </c>
      <c r="AC43" s="40" t="s">
        <v>50</v>
      </c>
      <c r="AD43" s="40" t="s">
        <v>56</v>
      </c>
      <c r="AE43" s="40" t="s">
        <v>57</v>
      </c>
      <c r="AF43" s="40" t="s">
        <v>50</v>
      </c>
      <c r="AG43" s="40" t="s">
        <v>56</v>
      </c>
      <c r="AH43" s="40" t="s">
        <v>57</v>
      </c>
      <c r="AI43" s="40" t="s">
        <v>50</v>
      </c>
      <c r="AJ43" s="40" t="s">
        <v>56</v>
      </c>
      <c r="AK43" s="40" t="s">
        <v>57</v>
      </c>
      <c r="AL43" s="40" t="s">
        <v>50</v>
      </c>
      <c r="AM43" s="40" t="s">
        <v>56</v>
      </c>
      <c r="AN43" s="40" t="s">
        <v>57</v>
      </c>
      <c r="AO43" s="40" t="s">
        <v>50</v>
      </c>
      <c r="AP43" s="40" t="s">
        <v>56</v>
      </c>
      <c r="AQ43" s="40" t="s">
        <v>57</v>
      </c>
    </row>
    <row r="44" spans="1:43" s="43" customFormat="1" ht="20.100000000000001" customHeight="1" x14ac:dyDescent="0.5">
      <c r="A44" s="29">
        <v>1</v>
      </c>
      <c r="B44" s="1" t="s">
        <v>67</v>
      </c>
      <c r="C44" s="34">
        <v>0.7</v>
      </c>
      <c r="D44" s="34" t="s">
        <v>96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>
        <f>E44+H44+K44+N44+Q44+T44+W44+Z44+AC44+AF44+AI44+AL44</f>
        <v>0</v>
      </c>
      <c r="AP44" s="29">
        <f t="shared" ref="AP44:AP47" si="48">F44+I44+L44+O44+R44+U44+X44+AA44+AD44+AG44+AJ44+AM44</f>
        <v>0</v>
      </c>
      <c r="AQ44" s="29">
        <f t="shared" ref="AQ44:AQ47" si="49">G44+J44+M44+P44+S44+V44+Y44+AB44+AE44+AH44+AK44+AN44</f>
        <v>0</v>
      </c>
    </row>
    <row r="45" spans="1:43" s="43" customFormat="1" ht="20.100000000000001" customHeight="1" x14ac:dyDescent="0.5">
      <c r="A45" s="29">
        <v>2</v>
      </c>
      <c r="B45" s="1" t="s">
        <v>118</v>
      </c>
      <c r="C45" s="34">
        <v>0.64</v>
      </c>
      <c r="D45" s="34" t="s">
        <v>119</v>
      </c>
      <c r="E45" s="29">
        <v>5</v>
      </c>
      <c r="F45" s="29">
        <v>70</v>
      </c>
      <c r="G45" s="29">
        <v>44.800000000000004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>
        <f t="shared" ref="AO45:AO47" si="50">E45+H45+K45+N45+Q45+T45+W45+Z45+AC45+AF45+AI45+AL45</f>
        <v>5</v>
      </c>
      <c r="AP45" s="29">
        <f t="shared" si="48"/>
        <v>70</v>
      </c>
      <c r="AQ45" s="29">
        <f t="shared" si="49"/>
        <v>44.800000000000004</v>
      </c>
    </row>
    <row r="46" spans="1:43" ht="20.100000000000001" customHeight="1" x14ac:dyDescent="0.5">
      <c r="A46" s="29">
        <v>3</v>
      </c>
      <c r="B46" s="1" t="s">
        <v>149</v>
      </c>
      <c r="C46" s="30">
        <v>0.64</v>
      </c>
      <c r="D46" s="30" t="s">
        <v>99</v>
      </c>
      <c r="E46" s="28"/>
      <c r="F46" s="28"/>
      <c r="G46" s="29"/>
      <c r="H46" s="28"/>
      <c r="I46" s="28"/>
      <c r="J46" s="29"/>
      <c r="K46" s="28"/>
      <c r="L46" s="28"/>
      <c r="M46" s="29"/>
      <c r="N46" s="28"/>
      <c r="O46" s="28"/>
      <c r="P46" s="29"/>
      <c r="Q46" s="28"/>
      <c r="R46" s="28"/>
      <c r="S46" s="29"/>
      <c r="T46" s="28"/>
      <c r="U46" s="28"/>
      <c r="V46" s="29"/>
      <c r="W46" s="28"/>
      <c r="X46" s="28"/>
      <c r="Y46" s="29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9">
        <f t="shared" si="50"/>
        <v>0</v>
      </c>
      <c r="AP46" s="29">
        <f t="shared" si="48"/>
        <v>0</v>
      </c>
      <c r="AQ46" s="29">
        <f t="shared" si="49"/>
        <v>0</v>
      </c>
    </row>
    <row r="47" spans="1:43" ht="20.100000000000001" customHeight="1" x14ac:dyDescent="0.5">
      <c r="A47" s="29">
        <v>4</v>
      </c>
      <c r="B47" s="1" t="s">
        <v>88</v>
      </c>
      <c r="C47" s="30">
        <v>0.64</v>
      </c>
      <c r="D47" s="30" t="s">
        <v>99</v>
      </c>
      <c r="E47" s="28">
        <v>50</v>
      </c>
      <c r="F47" s="28">
        <v>700</v>
      </c>
      <c r="G47" s="29">
        <v>448</v>
      </c>
      <c r="H47" s="28"/>
      <c r="I47" s="28"/>
      <c r="J47" s="29"/>
      <c r="K47" s="28"/>
      <c r="L47" s="28"/>
      <c r="M47" s="29"/>
      <c r="N47" s="28"/>
      <c r="O47" s="28"/>
      <c r="P47" s="29"/>
      <c r="Q47" s="28"/>
      <c r="R47" s="28"/>
      <c r="S47" s="29"/>
      <c r="T47" s="28"/>
      <c r="U47" s="28"/>
      <c r="V47" s="29"/>
      <c r="W47" s="28"/>
      <c r="X47" s="28"/>
      <c r="Y47" s="29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9">
        <f t="shared" si="50"/>
        <v>50</v>
      </c>
      <c r="AP47" s="29">
        <f t="shared" si="48"/>
        <v>700</v>
      </c>
      <c r="AQ47" s="29">
        <f t="shared" si="49"/>
        <v>448</v>
      </c>
    </row>
    <row r="48" spans="1:43" ht="20.100000000000001" customHeight="1" x14ac:dyDescent="0.5">
      <c r="A48" s="29">
        <v>5</v>
      </c>
      <c r="B48" s="1" t="s">
        <v>83</v>
      </c>
      <c r="C48" s="30"/>
      <c r="D48" s="30"/>
      <c r="E48" s="28"/>
      <c r="F48" s="28"/>
      <c r="G48" s="29"/>
      <c r="H48" s="28"/>
      <c r="I48" s="28"/>
      <c r="J48" s="29"/>
      <c r="K48" s="28"/>
      <c r="L48" s="28"/>
      <c r="M48" s="29"/>
      <c r="N48" s="28"/>
      <c r="O48" s="28"/>
      <c r="P48" s="29"/>
      <c r="Q48" s="28"/>
      <c r="R48" s="28"/>
      <c r="S48" s="29"/>
      <c r="T48" s="28"/>
      <c r="U48" s="28"/>
      <c r="V48" s="29"/>
      <c r="W48" s="28"/>
      <c r="X48" s="28"/>
      <c r="Y48" s="29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9"/>
      <c r="AP48" s="29"/>
      <c r="AQ48" s="29"/>
    </row>
    <row r="49" spans="1:43" ht="20.100000000000001" customHeight="1" x14ac:dyDescent="0.5">
      <c r="A49" s="29">
        <v>6</v>
      </c>
      <c r="B49" s="1" t="s">
        <v>89</v>
      </c>
      <c r="C49" s="34">
        <v>0.64</v>
      </c>
      <c r="D49" s="30" t="s">
        <v>99</v>
      </c>
      <c r="E49" s="28">
        <v>5</v>
      </c>
      <c r="F49" s="28">
        <v>70</v>
      </c>
      <c r="G49" s="29">
        <v>44.800000000000004</v>
      </c>
      <c r="H49" s="28">
        <v>60</v>
      </c>
      <c r="I49" s="28">
        <v>840</v>
      </c>
      <c r="J49" s="29">
        <v>537.6</v>
      </c>
      <c r="K49" s="28"/>
      <c r="L49" s="28"/>
      <c r="M49" s="29"/>
      <c r="N49" s="28"/>
      <c r="O49" s="28"/>
      <c r="P49" s="28"/>
      <c r="Q49" s="28"/>
      <c r="R49" s="28"/>
      <c r="S49" s="29"/>
      <c r="T49" s="28"/>
      <c r="U49" s="28"/>
      <c r="V49" s="29"/>
      <c r="W49" s="28"/>
      <c r="X49" s="28"/>
      <c r="Y49" s="29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9">
        <f t="shared" ref="AO49" si="51">E49+H49+K49+N49+Q49+T49+W49+Z49+AC49+AF49+AI49+AL49</f>
        <v>65</v>
      </c>
      <c r="AP49" s="29">
        <f t="shared" ref="AP49" si="52">F49+I49+L49+O49+R49+U49+X49+AA49+AD49+AG49+AJ49+AM49</f>
        <v>910</v>
      </c>
      <c r="AQ49" s="29">
        <f t="shared" ref="AQ49" si="53">G49+J49+M49+P49+S49+V49+Y49+AB49+AE49+AH49+AK49+AN49</f>
        <v>582.4</v>
      </c>
    </row>
    <row r="50" spans="1:43" s="41" customFormat="1" ht="20.100000000000001" customHeight="1" x14ac:dyDescent="0.5">
      <c r="A50" s="24"/>
      <c r="B50" s="239" t="s">
        <v>10</v>
      </c>
      <c r="C50" s="240"/>
      <c r="D50" s="241"/>
      <c r="E50" s="22">
        <f t="shared" ref="E50:I50" si="54">SUM(E44:E49)</f>
        <v>60</v>
      </c>
      <c r="F50" s="22">
        <f t="shared" si="54"/>
        <v>840</v>
      </c>
      <c r="G50" s="22">
        <f t="shared" si="54"/>
        <v>537.6</v>
      </c>
      <c r="H50" s="22">
        <f t="shared" si="54"/>
        <v>60</v>
      </c>
      <c r="I50" s="22">
        <f t="shared" si="54"/>
        <v>840</v>
      </c>
      <c r="J50" s="22">
        <f>SUM(J44:J49)</f>
        <v>537.6</v>
      </c>
      <c r="K50" s="22">
        <f t="shared" ref="K50:V50" si="55">SUM(K44:K49)</f>
        <v>0</v>
      </c>
      <c r="L50" s="22">
        <f t="shared" si="55"/>
        <v>0</v>
      </c>
      <c r="M50" s="22">
        <f t="shared" si="55"/>
        <v>0</v>
      </c>
      <c r="N50" s="22">
        <f t="shared" si="55"/>
        <v>0</v>
      </c>
      <c r="O50" s="22">
        <f t="shared" si="55"/>
        <v>0</v>
      </c>
      <c r="P50" s="22">
        <f t="shared" si="55"/>
        <v>0</v>
      </c>
      <c r="Q50" s="22">
        <f t="shared" si="55"/>
        <v>0</v>
      </c>
      <c r="R50" s="22">
        <f t="shared" si="55"/>
        <v>0</v>
      </c>
      <c r="S50" s="22">
        <f t="shared" si="55"/>
        <v>0</v>
      </c>
      <c r="T50" s="22">
        <f t="shared" si="55"/>
        <v>0</v>
      </c>
      <c r="U50" s="22">
        <f t="shared" si="55"/>
        <v>0</v>
      </c>
      <c r="V50" s="22">
        <f t="shared" si="55"/>
        <v>0</v>
      </c>
      <c r="W50" s="22">
        <f>SUM(W44:W49)</f>
        <v>0</v>
      </c>
      <c r="X50" s="22">
        <f t="shared" ref="X50:Z50" si="56">SUM(X44:X49)</f>
        <v>0</v>
      </c>
      <c r="Y50" s="22">
        <f t="shared" si="56"/>
        <v>0</v>
      </c>
      <c r="Z50" s="22">
        <f t="shared" si="56"/>
        <v>0</v>
      </c>
      <c r="AA50" s="22">
        <f>SUM(AA44:AA49)</f>
        <v>0</v>
      </c>
      <c r="AB50" s="22">
        <f t="shared" ref="AB50:AQ50" si="57">SUM(AB44:AB49)</f>
        <v>0</v>
      </c>
      <c r="AC50" s="22">
        <f t="shared" si="57"/>
        <v>0</v>
      </c>
      <c r="AD50" s="22">
        <f t="shared" si="57"/>
        <v>0</v>
      </c>
      <c r="AE50" s="22">
        <f t="shared" si="57"/>
        <v>0</v>
      </c>
      <c r="AF50" s="22">
        <f t="shared" si="57"/>
        <v>0</v>
      </c>
      <c r="AG50" s="22">
        <f t="shared" si="57"/>
        <v>0</v>
      </c>
      <c r="AH50" s="22">
        <f t="shared" si="57"/>
        <v>0</v>
      </c>
      <c r="AI50" s="22">
        <f t="shared" si="57"/>
        <v>0</v>
      </c>
      <c r="AJ50" s="22">
        <f t="shared" si="57"/>
        <v>0</v>
      </c>
      <c r="AK50" s="22">
        <f t="shared" si="57"/>
        <v>0</v>
      </c>
      <c r="AL50" s="22">
        <f t="shared" si="57"/>
        <v>0</v>
      </c>
      <c r="AM50" s="22">
        <f t="shared" si="57"/>
        <v>0</v>
      </c>
      <c r="AN50" s="22">
        <f t="shared" si="57"/>
        <v>0</v>
      </c>
      <c r="AO50" s="22">
        <f t="shared" si="57"/>
        <v>120</v>
      </c>
      <c r="AP50" s="22">
        <f t="shared" si="57"/>
        <v>1680</v>
      </c>
      <c r="AQ50" s="22">
        <f t="shared" si="57"/>
        <v>1075.2</v>
      </c>
    </row>
  </sheetData>
  <mergeCells count="56">
    <mergeCell ref="AL3:AN3"/>
    <mergeCell ref="B11:D11"/>
    <mergeCell ref="AO3:AQ3"/>
    <mergeCell ref="AO16:AQ16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T16:V16"/>
    <mergeCell ref="AF16:AH16"/>
    <mergeCell ref="A3:A4"/>
    <mergeCell ref="B3:B4"/>
    <mergeCell ref="C3:C4"/>
    <mergeCell ref="D3:D4"/>
    <mergeCell ref="E3:G3"/>
    <mergeCell ref="AI16:AK16"/>
    <mergeCell ref="AL16:AN16"/>
    <mergeCell ref="C16:C17"/>
    <mergeCell ref="E16:G16"/>
    <mergeCell ref="H16:J16"/>
    <mergeCell ref="K16:M16"/>
    <mergeCell ref="N16:P16"/>
    <mergeCell ref="Q16:S16"/>
    <mergeCell ref="W16:Y16"/>
    <mergeCell ref="Z16:AB16"/>
    <mergeCell ref="AC16:AE16"/>
    <mergeCell ref="B36:D36"/>
    <mergeCell ref="B35:D35"/>
    <mergeCell ref="A16:A17"/>
    <mergeCell ref="B16:B17"/>
    <mergeCell ref="D16:D17"/>
    <mergeCell ref="B24:D24"/>
    <mergeCell ref="A42:A43"/>
    <mergeCell ref="B42:B43"/>
    <mergeCell ref="C42:C43"/>
    <mergeCell ref="D42:D43"/>
    <mergeCell ref="E42:G42"/>
    <mergeCell ref="AL42:AN42"/>
    <mergeCell ref="AO42:AQ42"/>
    <mergeCell ref="B50:D50"/>
    <mergeCell ref="W42:Y42"/>
    <mergeCell ref="Z42:AB42"/>
    <mergeCell ref="AC42:AE42"/>
    <mergeCell ref="AF42:AH42"/>
    <mergeCell ref="AI42:AK42"/>
    <mergeCell ref="H42:J42"/>
    <mergeCell ref="K42:M42"/>
    <mergeCell ref="N42:P42"/>
    <mergeCell ref="Q42:S42"/>
    <mergeCell ref="T42:V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A0E3-2A67-4F7F-99FE-960158673F89}">
  <sheetPr>
    <tabColor rgb="FFFF0000"/>
  </sheetPr>
  <dimension ref="A1:AQ59"/>
  <sheetViews>
    <sheetView topLeftCell="A22" workbookViewId="0">
      <selection activeCell="H45" sqref="H45:J45"/>
    </sheetView>
  </sheetViews>
  <sheetFormatPr defaultColWidth="9.7109375" defaultRowHeight="18" x14ac:dyDescent="0.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bestFit="1" customWidth="1"/>
    <col min="7" max="7" width="8.5703125" style="42" bestFit="1" customWidth="1"/>
    <col min="8" max="43" width="6.7109375" style="42" customWidth="1"/>
    <col min="44" max="16384" width="9.7109375" style="42"/>
  </cols>
  <sheetData>
    <row r="1" spans="1:43" x14ac:dyDescent="0.5">
      <c r="B1" s="41" t="s">
        <v>142</v>
      </c>
    </row>
    <row r="3" spans="1:43" x14ac:dyDescent="0.5">
      <c r="A3" s="245" t="s">
        <v>52</v>
      </c>
      <c r="B3" s="245" t="s">
        <v>51</v>
      </c>
      <c r="C3" s="247" t="s">
        <v>117</v>
      </c>
      <c r="D3" s="247" t="s">
        <v>95</v>
      </c>
      <c r="E3" s="236" t="s">
        <v>114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5">
      <c r="A4" s="246"/>
      <c r="B4" s="246"/>
      <c r="C4" s="248"/>
      <c r="D4" s="248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s="43" customFormat="1" x14ac:dyDescent="0.5">
      <c r="A5" s="125">
        <v>1</v>
      </c>
      <c r="B5" s="125" t="s">
        <v>67</v>
      </c>
      <c r="C5" s="124">
        <v>0.7</v>
      </c>
      <c r="D5" s="124" t="s">
        <v>96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>
        <v>1</v>
      </c>
      <c r="AM5" s="29">
        <v>12</v>
      </c>
      <c r="AN5" s="29">
        <f>AM5*C5</f>
        <v>8.3999999999999986</v>
      </c>
      <c r="AO5" s="29">
        <f t="shared" ref="AO5:AQ7" si="0">E5+H5+K5+N5+Q5+T5+W5+Z5+AC5+AF5+AI5+AL5</f>
        <v>1</v>
      </c>
      <c r="AP5" s="29">
        <f t="shared" si="0"/>
        <v>12</v>
      </c>
      <c r="AQ5" s="29">
        <f t="shared" si="0"/>
        <v>8.3999999999999986</v>
      </c>
    </row>
    <row r="6" spans="1:43" x14ac:dyDescent="0.5">
      <c r="A6" s="28">
        <v>2</v>
      </c>
      <c r="B6" s="1" t="s">
        <v>88</v>
      </c>
      <c r="C6" s="30">
        <v>0.64</v>
      </c>
      <c r="D6" s="30" t="s">
        <v>99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>
        <v>25</v>
      </c>
      <c r="AM6" s="29">
        <v>350</v>
      </c>
      <c r="AN6" s="29">
        <f t="shared" ref="AN6:AN7" si="1">AM6*C6</f>
        <v>224</v>
      </c>
      <c r="AO6" s="28">
        <f t="shared" si="0"/>
        <v>25</v>
      </c>
      <c r="AP6" s="28">
        <f t="shared" si="0"/>
        <v>350</v>
      </c>
      <c r="AQ6" s="28">
        <f t="shared" si="0"/>
        <v>224</v>
      </c>
    </row>
    <row r="7" spans="1:43" x14ac:dyDescent="0.5">
      <c r="A7" s="28">
        <v>3</v>
      </c>
      <c r="B7" s="1" t="s">
        <v>9</v>
      </c>
      <c r="C7" s="30">
        <v>0.64</v>
      </c>
      <c r="D7" s="30" t="s">
        <v>99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>
        <v>5</v>
      </c>
      <c r="AM7" s="29">
        <v>70</v>
      </c>
      <c r="AN7" s="29">
        <f t="shared" si="1"/>
        <v>44.800000000000004</v>
      </c>
      <c r="AO7" s="28">
        <f t="shared" si="0"/>
        <v>5</v>
      </c>
      <c r="AP7" s="28">
        <f t="shared" si="0"/>
        <v>70</v>
      </c>
      <c r="AQ7" s="28">
        <f t="shared" si="0"/>
        <v>44.800000000000004</v>
      </c>
    </row>
    <row r="8" spans="1:43" x14ac:dyDescent="0.5">
      <c r="A8" s="24"/>
      <c r="B8" s="239" t="s">
        <v>10</v>
      </c>
      <c r="C8" s="240"/>
      <c r="D8" s="241"/>
      <c r="E8" s="22">
        <f t="shared" ref="E8:I8" si="2">SUM(E6:E7)</f>
        <v>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>SUM(J6:J7)</f>
        <v>0</v>
      </c>
      <c r="K8" s="22">
        <f t="shared" ref="K8:AK8" si="3">SUM(K6:K7)</f>
        <v>0</v>
      </c>
      <c r="L8" s="22">
        <f t="shared" si="3"/>
        <v>0</v>
      </c>
      <c r="M8" s="22">
        <f t="shared" si="3"/>
        <v>0</v>
      </c>
      <c r="N8" s="22">
        <f t="shared" si="3"/>
        <v>0</v>
      </c>
      <c r="O8" s="22">
        <f t="shared" si="3"/>
        <v>0</v>
      </c>
      <c r="P8" s="22">
        <f t="shared" si="3"/>
        <v>0</v>
      </c>
      <c r="Q8" s="22">
        <f t="shared" si="3"/>
        <v>0</v>
      </c>
      <c r="R8" s="22">
        <f t="shared" si="3"/>
        <v>0</v>
      </c>
      <c r="S8" s="22">
        <f t="shared" si="3"/>
        <v>0</v>
      </c>
      <c r="T8" s="22">
        <f t="shared" si="3"/>
        <v>0</v>
      </c>
      <c r="U8" s="22">
        <f t="shared" si="3"/>
        <v>0</v>
      </c>
      <c r="V8" s="22">
        <f t="shared" si="3"/>
        <v>0</v>
      </c>
      <c r="W8" s="22">
        <f t="shared" si="3"/>
        <v>0</v>
      </c>
      <c r="X8" s="22">
        <f t="shared" si="3"/>
        <v>0</v>
      </c>
      <c r="Y8" s="22">
        <f t="shared" si="3"/>
        <v>0</v>
      </c>
      <c r="Z8" s="22">
        <f t="shared" si="3"/>
        <v>0</v>
      </c>
      <c r="AA8" s="22">
        <f t="shared" si="3"/>
        <v>0</v>
      </c>
      <c r="AB8" s="22">
        <f t="shared" si="3"/>
        <v>0</v>
      </c>
      <c r="AC8" s="22">
        <f t="shared" si="3"/>
        <v>0</v>
      </c>
      <c r="AD8" s="22">
        <f t="shared" si="3"/>
        <v>0</v>
      </c>
      <c r="AE8" s="22">
        <f t="shared" si="3"/>
        <v>0</v>
      </c>
      <c r="AF8" s="22">
        <f t="shared" si="3"/>
        <v>0</v>
      </c>
      <c r="AG8" s="22">
        <f t="shared" si="3"/>
        <v>0</v>
      </c>
      <c r="AH8" s="22">
        <f t="shared" si="3"/>
        <v>0</v>
      </c>
      <c r="AI8" s="22">
        <f t="shared" si="3"/>
        <v>0</v>
      </c>
      <c r="AJ8" s="22">
        <f t="shared" si="3"/>
        <v>0</v>
      </c>
      <c r="AK8" s="22">
        <f t="shared" si="3"/>
        <v>0</v>
      </c>
      <c r="AL8" s="22">
        <f>SUM(AL5:AL7)</f>
        <v>31</v>
      </c>
      <c r="AM8" s="22">
        <f t="shared" ref="AM8:AN8" si="4">SUM(AM5:AM7)</f>
        <v>432</v>
      </c>
      <c r="AN8" s="22">
        <f t="shared" si="4"/>
        <v>277.2</v>
      </c>
      <c r="AO8" s="22">
        <f>SUM(AO5:AO7)</f>
        <v>31</v>
      </c>
      <c r="AP8" s="22">
        <f t="shared" ref="AP8:AQ8" si="5">SUM(AP5:AP7)</f>
        <v>432</v>
      </c>
      <c r="AQ8" s="22">
        <f t="shared" si="5"/>
        <v>277.2</v>
      </c>
    </row>
    <row r="15" spans="1:43" ht="25.15" customHeight="1" x14ac:dyDescent="0.5">
      <c r="B15" s="41" t="s">
        <v>109</v>
      </c>
    </row>
    <row r="16" spans="1:43" ht="15" customHeight="1" x14ac:dyDescent="0.5"/>
    <row r="17" spans="1:43" ht="42.75" customHeight="1" x14ac:dyDescent="0.5">
      <c r="A17" s="245" t="s">
        <v>52</v>
      </c>
      <c r="B17" s="245" t="s">
        <v>51</v>
      </c>
      <c r="C17" s="247" t="s">
        <v>117</v>
      </c>
      <c r="D17" s="247" t="s">
        <v>95</v>
      </c>
      <c r="E17" s="236" t="s">
        <v>114</v>
      </c>
      <c r="F17" s="237"/>
      <c r="G17" s="238"/>
      <c r="H17" s="236" t="s">
        <v>58</v>
      </c>
      <c r="I17" s="237"/>
      <c r="J17" s="238"/>
      <c r="K17" s="236" t="s">
        <v>59</v>
      </c>
      <c r="L17" s="237"/>
      <c r="M17" s="238"/>
      <c r="N17" s="236" t="s">
        <v>60</v>
      </c>
      <c r="O17" s="237"/>
      <c r="P17" s="238"/>
      <c r="Q17" s="236" t="s">
        <v>61</v>
      </c>
      <c r="R17" s="237"/>
      <c r="S17" s="238"/>
      <c r="T17" s="236" t="s">
        <v>62</v>
      </c>
      <c r="U17" s="237"/>
      <c r="V17" s="238"/>
      <c r="W17" s="236" t="s">
        <v>63</v>
      </c>
      <c r="X17" s="237"/>
      <c r="Y17" s="238"/>
      <c r="Z17" s="236" t="s">
        <v>64</v>
      </c>
      <c r="AA17" s="237"/>
      <c r="AB17" s="238"/>
      <c r="AC17" s="236" t="s">
        <v>65</v>
      </c>
      <c r="AD17" s="237"/>
      <c r="AE17" s="238"/>
      <c r="AF17" s="236" t="s">
        <v>18</v>
      </c>
      <c r="AG17" s="237"/>
      <c r="AH17" s="238"/>
      <c r="AI17" s="236" t="s">
        <v>17</v>
      </c>
      <c r="AJ17" s="237"/>
      <c r="AK17" s="238"/>
      <c r="AL17" s="236" t="s">
        <v>16</v>
      </c>
      <c r="AM17" s="237"/>
      <c r="AN17" s="238"/>
      <c r="AO17" s="236" t="s">
        <v>10</v>
      </c>
      <c r="AP17" s="237"/>
      <c r="AQ17" s="238"/>
    </row>
    <row r="18" spans="1:43" ht="25.15" customHeight="1" x14ac:dyDescent="0.5">
      <c r="A18" s="246"/>
      <c r="B18" s="246"/>
      <c r="C18" s="248"/>
      <c r="D18" s="248"/>
      <c r="E18" s="40" t="s">
        <v>50</v>
      </c>
      <c r="F18" s="40" t="s">
        <v>56</v>
      </c>
      <c r="G18" s="40" t="s">
        <v>93</v>
      </c>
      <c r="H18" s="40" t="s">
        <v>50</v>
      </c>
      <c r="I18" s="40" t="s">
        <v>56</v>
      </c>
      <c r="J18" s="40" t="s">
        <v>57</v>
      </c>
      <c r="K18" s="40" t="s">
        <v>50</v>
      </c>
      <c r="L18" s="40" t="s">
        <v>56</v>
      </c>
      <c r="M18" s="40" t="s">
        <v>57</v>
      </c>
      <c r="N18" s="40" t="s">
        <v>50</v>
      </c>
      <c r="O18" s="40" t="s">
        <v>56</v>
      </c>
      <c r="P18" s="40" t="s">
        <v>57</v>
      </c>
      <c r="Q18" s="40" t="s">
        <v>50</v>
      </c>
      <c r="R18" s="40" t="s">
        <v>56</v>
      </c>
      <c r="S18" s="40" t="s">
        <v>57</v>
      </c>
      <c r="T18" s="40" t="s">
        <v>50</v>
      </c>
      <c r="U18" s="40" t="s">
        <v>56</v>
      </c>
      <c r="V18" s="40" t="s">
        <v>57</v>
      </c>
      <c r="W18" s="40" t="s">
        <v>50</v>
      </c>
      <c r="X18" s="40" t="s">
        <v>56</v>
      </c>
      <c r="Y18" s="40" t="s">
        <v>57</v>
      </c>
      <c r="Z18" s="40" t="s">
        <v>50</v>
      </c>
      <c r="AA18" s="40" t="s">
        <v>56</v>
      </c>
      <c r="AB18" s="40" t="s">
        <v>57</v>
      </c>
      <c r="AC18" s="40" t="s">
        <v>50</v>
      </c>
      <c r="AD18" s="40" t="s">
        <v>56</v>
      </c>
      <c r="AE18" s="40" t="s">
        <v>57</v>
      </c>
      <c r="AF18" s="40" t="s">
        <v>50</v>
      </c>
      <c r="AG18" s="40" t="s">
        <v>56</v>
      </c>
      <c r="AH18" s="40" t="s">
        <v>57</v>
      </c>
      <c r="AI18" s="40" t="s">
        <v>50</v>
      </c>
      <c r="AJ18" s="40" t="s">
        <v>56</v>
      </c>
      <c r="AK18" s="40" t="s">
        <v>57</v>
      </c>
      <c r="AL18" s="40" t="s">
        <v>50</v>
      </c>
      <c r="AM18" s="40" t="s">
        <v>56</v>
      </c>
      <c r="AN18" s="40" t="s">
        <v>57</v>
      </c>
      <c r="AO18" s="40" t="s">
        <v>50</v>
      </c>
      <c r="AP18" s="40" t="s">
        <v>56</v>
      </c>
      <c r="AQ18" s="40" t="s">
        <v>57</v>
      </c>
    </row>
    <row r="19" spans="1:43" ht="24" customHeight="1" x14ac:dyDescent="0.5">
      <c r="A19" s="28">
        <v>1</v>
      </c>
      <c r="B19" s="1" t="s">
        <v>88</v>
      </c>
      <c r="C19" s="30">
        <v>0.64</v>
      </c>
      <c r="D19" s="30" t="s">
        <v>99</v>
      </c>
      <c r="E19" s="28">
        <v>40</v>
      </c>
      <c r="F19" s="28">
        <v>560</v>
      </c>
      <c r="G19" s="29">
        <f t="shared" ref="G19:G22" si="6">F19*C19</f>
        <v>358.40000000000003</v>
      </c>
      <c r="H19" s="28">
        <v>50</v>
      </c>
      <c r="I19" s="28">
        <v>700</v>
      </c>
      <c r="J19" s="28">
        <f>I19*C19</f>
        <v>448</v>
      </c>
      <c r="K19" s="28"/>
      <c r="L19" s="28"/>
      <c r="M19" s="28">
        <f>L19*C19</f>
        <v>0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>
        <f>X19*C19</f>
        <v>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24" customHeight="1" x14ac:dyDescent="0.5">
      <c r="A20" s="28">
        <v>2</v>
      </c>
      <c r="B20" s="1" t="s">
        <v>147</v>
      </c>
      <c r="C20" s="30">
        <v>1</v>
      </c>
      <c r="D20" s="30" t="s">
        <v>135</v>
      </c>
      <c r="E20" s="28"/>
      <c r="F20" s="28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>
        <v>1</v>
      </c>
      <c r="X20" s="28">
        <v>14</v>
      </c>
      <c r="Y20" s="28">
        <f>X20*C20</f>
        <v>14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ht="24" customHeight="1" x14ac:dyDescent="0.5">
      <c r="A21" s="28"/>
      <c r="B21" s="1" t="s">
        <v>73</v>
      </c>
      <c r="C21" s="30">
        <v>0.64</v>
      </c>
      <c r="D21" s="30" t="s">
        <v>99</v>
      </c>
      <c r="E21" s="28"/>
      <c r="F21" s="28"/>
      <c r="G21" s="2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>
        <v>10</v>
      </c>
      <c r="AM21" s="28">
        <v>140</v>
      </c>
      <c r="AN21" s="28">
        <v>89.600000000000009</v>
      </c>
      <c r="AO21" s="28"/>
      <c r="AP21" s="28"/>
      <c r="AQ21" s="28"/>
    </row>
    <row r="22" spans="1:43" ht="24" customHeight="1" x14ac:dyDescent="0.5">
      <c r="A22" s="28">
        <v>3</v>
      </c>
      <c r="B22" s="1" t="s">
        <v>9</v>
      </c>
      <c r="C22" s="30">
        <v>0.64</v>
      </c>
      <c r="D22" s="30" t="s">
        <v>99</v>
      </c>
      <c r="E22" s="28">
        <v>10</v>
      </c>
      <c r="F22" s="28">
        <v>140</v>
      </c>
      <c r="G22" s="29">
        <f t="shared" si="6"/>
        <v>89.600000000000009</v>
      </c>
      <c r="H22" s="28">
        <v>20</v>
      </c>
      <c r="I22" s="28">
        <v>280</v>
      </c>
      <c r="J22" s="28">
        <f>I22*C22</f>
        <v>179.20000000000002</v>
      </c>
      <c r="K22" s="28">
        <v>50</v>
      </c>
      <c r="L22" s="28">
        <v>700</v>
      </c>
      <c r="M22" s="28">
        <f>L22*C22</f>
        <v>448</v>
      </c>
      <c r="N22" s="28"/>
      <c r="O22" s="28"/>
      <c r="P22" s="28"/>
      <c r="Q22" s="28">
        <v>50</v>
      </c>
      <c r="R22" s="28">
        <v>700</v>
      </c>
      <c r="S22" s="28">
        <f>R22*C22</f>
        <v>448</v>
      </c>
      <c r="T22" s="28"/>
      <c r="U22" s="28"/>
      <c r="V22" s="28"/>
      <c r="W22" s="28">
        <v>50</v>
      </c>
      <c r="X22" s="28">
        <v>700</v>
      </c>
      <c r="Y22" s="28">
        <f>X22*C22</f>
        <v>448</v>
      </c>
      <c r="Z22" s="28">
        <v>50</v>
      </c>
      <c r="AA22" s="28">
        <v>700</v>
      </c>
      <c r="AB22" s="28">
        <v>448</v>
      </c>
      <c r="AC22" s="28">
        <v>30</v>
      </c>
      <c r="AD22" s="28">
        <v>420</v>
      </c>
      <c r="AE22" s="28">
        <v>268.8</v>
      </c>
      <c r="AF22" s="28">
        <v>50</v>
      </c>
      <c r="AG22" s="28">
        <v>700</v>
      </c>
      <c r="AH22" s="28">
        <v>448</v>
      </c>
      <c r="AI22" s="28">
        <v>50</v>
      </c>
      <c r="AJ22" s="28">
        <v>700</v>
      </c>
      <c r="AK22" s="28">
        <v>448</v>
      </c>
      <c r="AL22" s="28">
        <v>100</v>
      </c>
      <c r="AM22" s="28">
        <v>1400</v>
      </c>
      <c r="AN22" s="28">
        <v>896</v>
      </c>
      <c r="AO22" s="28"/>
      <c r="AP22" s="28"/>
      <c r="AQ22" s="28"/>
    </row>
    <row r="23" spans="1:43" s="41" customFormat="1" ht="24" customHeight="1" x14ac:dyDescent="0.5">
      <c r="A23" s="24"/>
      <c r="B23" s="239" t="s">
        <v>10</v>
      </c>
      <c r="C23" s="240"/>
      <c r="D23" s="241"/>
      <c r="E23" s="22">
        <f t="shared" ref="E23:AN23" si="7">SUM(E19:E22)</f>
        <v>50</v>
      </c>
      <c r="F23" s="22">
        <f t="shared" si="7"/>
        <v>700</v>
      </c>
      <c r="G23" s="22">
        <f t="shared" si="7"/>
        <v>448.00000000000006</v>
      </c>
      <c r="H23" s="22">
        <f t="shared" si="7"/>
        <v>70</v>
      </c>
      <c r="I23" s="22">
        <f t="shared" si="7"/>
        <v>980</v>
      </c>
      <c r="J23" s="22">
        <f>SUM(J19:J22)</f>
        <v>627.20000000000005</v>
      </c>
      <c r="K23" s="22">
        <f t="shared" si="7"/>
        <v>50</v>
      </c>
      <c r="L23" s="22">
        <f t="shared" si="7"/>
        <v>700</v>
      </c>
      <c r="M23" s="22">
        <f t="shared" si="7"/>
        <v>448</v>
      </c>
      <c r="N23" s="22">
        <f t="shared" si="7"/>
        <v>0</v>
      </c>
      <c r="O23" s="22">
        <f t="shared" si="7"/>
        <v>0</v>
      </c>
      <c r="P23" s="22">
        <f t="shared" si="7"/>
        <v>0</v>
      </c>
      <c r="Q23" s="22">
        <f t="shared" si="7"/>
        <v>50</v>
      </c>
      <c r="R23" s="22">
        <f t="shared" si="7"/>
        <v>700</v>
      </c>
      <c r="S23" s="22">
        <f t="shared" si="7"/>
        <v>448</v>
      </c>
      <c r="T23" s="22">
        <f t="shared" si="7"/>
        <v>0</v>
      </c>
      <c r="U23" s="22">
        <f t="shared" si="7"/>
        <v>0</v>
      </c>
      <c r="V23" s="22">
        <f t="shared" si="7"/>
        <v>0</v>
      </c>
      <c r="W23" s="22">
        <f t="shared" si="7"/>
        <v>51</v>
      </c>
      <c r="X23" s="22">
        <f t="shared" si="7"/>
        <v>714</v>
      </c>
      <c r="Y23" s="22">
        <f t="shared" si="7"/>
        <v>462</v>
      </c>
      <c r="Z23" s="22">
        <f t="shared" si="7"/>
        <v>50</v>
      </c>
      <c r="AA23" s="22">
        <f t="shared" si="7"/>
        <v>700</v>
      </c>
      <c r="AB23" s="22">
        <f t="shared" si="7"/>
        <v>448</v>
      </c>
      <c r="AC23" s="22">
        <f t="shared" si="7"/>
        <v>30</v>
      </c>
      <c r="AD23" s="22">
        <f t="shared" si="7"/>
        <v>420</v>
      </c>
      <c r="AE23" s="22">
        <f t="shared" si="7"/>
        <v>268.8</v>
      </c>
      <c r="AF23" s="22">
        <f t="shared" si="7"/>
        <v>50</v>
      </c>
      <c r="AG23" s="22">
        <f t="shared" si="7"/>
        <v>700</v>
      </c>
      <c r="AH23" s="22">
        <f t="shared" si="7"/>
        <v>448</v>
      </c>
      <c r="AI23" s="22">
        <f t="shared" si="7"/>
        <v>50</v>
      </c>
      <c r="AJ23" s="22">
        <f t="shared" si="7"/>
        <v>700</v>
      </c>
      <c r="AK23" s="22">
        <f t="shared" si="7"/>
        <v>448</v>
      </c>
      <c r="AL23" s="22">
        <f t="shared" si="7"/>
        <v>110</v>
      </c>
      <c r="AM23" s="22">
        <f t="shared" si="7"/>
        <v>1540</v>
      </c>
      <c r="AN23" s="22">
        <f t="shared" si="7"/>
        <v>985.6</v>
      </c>
      <c r="AO23" s="22">
        <f t="shared" ref="AO23:AQ23" si="8">SUM(AO19:AO22)</f>
        <v>0</v>
      </c>
      <c r="AP23" s="22">
        <f t="shared" si="8"/>
        <v>0</v>
      </c>
      <c r="AQ23" s="22">
        <f t="shared" si="8"/>
        <v>0</v>
      </c>
    </row>
    <row r="24" spans="1:43" ht="24" customHeight="1" x14ac:dyDescent="0.5">
      <c r="A24" s="39"/>
      <c r="B24" s="30"/>
      <c r="C24" s="30"/>
      <c r="D24" s="30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ht="25.15" customHeight="1" x14ac:dyDescent="0.5">
      <c r="A25" s="29">
        <v>3</v>
      </c>
      <c r="B25" s="30" t="s">
        <v>6</v>
      </c>
      <c r="C25" s="1">
        <v>0.7</v>
      </c>
      <c r="D25" s="1" t="s">
        <v>96</v>
      </c>
      <c r="E25" s="29">
        <v>11</v>
      </c>
      <c r="F25" s="29">
        <v>132</v>
      </c>
      <c r="G25" s="29">
        <f>F25*C25</f>
        <v>92.399999999999991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ht="25.15" hidden="1" customHeight="1" x14ac:dyDescent="0.5">
      <c r="A26" s="39">
        <v>2</v>
      </c>
      <c r="B26" s="30" t="s">
        <v>5</v>
      </c>
      <c r="C26" s="1">
        <v>0.35</v>
      </c>
      <c r="D26" s="1" t="s">
        <v>98</v>
      </c>
      <c r="E26" s="29"/>
      <c r="F26" s="29"/>
      <c r="G26" s="29">
        <f t="shared" ref="G26:G33" si="9">F26*C26</f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ht="25.15" hidden="1" customHeight="1" x14ac:dyDescent="0.5">
      <c r="A27" s="39">
        <v>3</v>
      </c>
      <c r="B27" s="30" t="s">
        <v>4</v>
      </c>
      <c r="C27" s="1">
        <v>0.17499999999999999</v>
      </c>
      <c r="D27" s="1" t="s">
        <v>100</v>
      </c>
      <c r="E27" s="29"/>
      <c r="F27" s="29"/>
      <c r="G27" s="29">
        <f t="shared" si="9"/>
        <v>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ht="25.15" hidden="1" customHeight="1" x14ac:dyDescent="0.5">
      <c r="A28" s="39">
        <v>4</v>
      </c>
      <c r="B28" s="30" t="s">
        <v>3</v>
      </c>
      <c r="C28" s="1">
        <v>0.7</v>
      </c>
      <c r="D28" s="1" t="s">
        <v>96</v>
      </c>
      <c r="E28" s="29"/>
      <c r="F28" s="29"/>
      <c r="G28" s="29">
        <f t="shared" si="9"/>
        <v>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ht="25.15" hidden="1" customHeight="1" x14ac:dyDescent="0.5">
      <c r="A29" s="39">
        <v>5</v>
      </c>
      <c r="B29" s="30" t="s">
        <v>2</v>
      </c>
      <c r="C29" s="1">
        <v>0.35</v>
      </c>
      <c r="D29" s="1" t="s">
        <v>98</v>
      </c>
      <c r="E29" s="29"/>
      <c r="F29" s="29"/>
      <c r="G29" s="29">
        <f t="shared" si="9"/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ht="25.15" hidden="1" customHeight="1" x14ac:dyDescent="0.5">
      <c r="A30" s="39">
        <v>6</v>
      </c>
      <c r="B30" s="30" t="s">
        <v>1</v>
      </c>
      <c r="C30" s="1">
        <v>0.17499999999999999</v>
      </c>
      <c r="D30" s="1" t="s">
        <v>100</v>
      </c>
      <c r="E30" s="29"/>
      <c r="F30" s="29"/>
      <c r="G30" s="29">
        <f t="shared" si="9"/>
        <v>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ht="25.15" hidden="1" customHeight="1" x14ac:dyDescent="0.5">
      <c r="A31" s="39">
        <v>7</v>
      </c>
      <c r="B31" s="30" t="s">
        <v>0</v>
      </c>
      <c r="C31" s="1">
        <v>0.7</v>
      </c>
      <c r="D31" s="1" t="s">
        <v>96</v>
      </c>
      <c r="E31" s="29"/>
      <c r="F31" s="29"/>
      <c r="G31" s="29">
        <f t="shared" si="9"/>
        <v>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ht="25.15" hidden="1" customHeight="1" x14ac:dyDescent="0.5">
      <c r="A32" s="39">
        <v>8</v>
      </c>
      <c r="B32" s="30" t="s">
        <v>8</v>
      </c>
      <c r="C32" s="1">
        <v>0.7</v>
      </c>
      <c r="D32" s="1" t="s">
        <v>96</v>
      </c>
      <c r="E32" s="29"/>
      <c r="F32" s="29"/>
      <c r="G32" s="29">
        <f t="shared" si="9"/>
        <v>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  <row r="33" spans="1:43" ht="25.15" hidden="1" customHeight="1" x14ac:dyDescent="0.5">
      <c r="A33" s="39">
        <v>9</v>
      </c>
      <c r="B33" s="30" t="s">
        <v>7</v>
      </c>
      <c r="C33" s="1">
        <v>0.35</v>
      </c>
      <c r="D33" s="1" t="s">
        <v>98</v>
      </c>
      <c r="E33" s="29"/>
      <c r="F33" s="29"/>
      <c r="G33" s="29">
        <f t="shared" si="9"/>
        <v>0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</row>
    <row r="34" spans="1:43" ht="25.15" customHeight="1" x14ac:dyDescent="0.5">
      <c r="A34" s="46"/>
      <c r="B34" s="239" t="s">
        <v>10</v>
      </c>
      <c r="C34" s="240"/>
      <c r="D34" s="241"/>
      <c r="E34" s="22">
        <f t="shared" ref="E34:AN34" si="10">SUM(E25:E33)</f>
        <v>11</v>
      </c>
      <c r="F34" s="22">
        <f t="shared" si="10"/>
        <v>132</v>
      </c>
      <c r="G34" s="22">
        <f>SUM(G25:G33)</f>
        <v>92.399999999999991</v>
      </c>
      <c r="H34" s="22">
        <f t="shared" si="10"/>
        <v>0</v>
      </c>
      <c r="I34" s="22">
        <f t="shared" si="10"/>
        <v>0</v>
      </c>
      <c r="J34" s="22">
        <f t="shared" si="10"/>
        <v>0</v>
      </c>
      <c r="K34" s="22">
        <f t="shared" si="10"/>
        <v>0</v>
      </c>
      <c r="L34" s="22">
        <f t="shared" si="10"/>
        <v>0</v>
      </c>
      <c r="M34" s="22">
        <f t="shared" si="10"/>
        <v>0</v>
      </c>
      <c r="N34" s="22">
        <f t="shared" si="10"/>
        <v>0</v>
      </c>
      <c r="O34" s="22">
        <f t="shared" si="10"/>
        <v>0</v>
      </c>
      <c r="P34" s="22">
        <f t="shared" si="10"/>
        <v>0</v>
      </c>
      <c r="Q34" s="22">
        <f t="shared" si="10"/>
        <v>0</v>
      </c>
      <c r="R34" s="22">
        <f t="shared" si="10"/>
        <v>0</v>
      </c>
      <c r="S34" s="22">
        <f t="shared" si="10"/>
        <v>0</v>
      </c>
      <c r="T34" s="22">
        <f t="shared" si="10"/>
        <v>0</v>
      </c>
      <c r="U34" s="22">
        <f t="shared" si="10"/>
        <v>0</v>
      </c>
      <c r="V34" s="22">
        <f t="shared" si="10"/>
        <v>0</v>
      </c>
      <c r="W34" s="22">
        <f t="shared" si="10"/>
        <v>0</v>
      </c>
      <c r="X34" s="22">
        <f t="shared" si="10"/>
        <v>0</v>
      </c>
      <c r="Y34" s="22">
        <f t="shared" si="10"/>
        <v>0</v>
      </c>
      <c r="Z34" s="22">
        <f t="shared" si="10"/>
        <v>0</v>
      </c>
      <c r="AA34" s="22">
        <f t="shared" si="10"/>
        <v>0</v>
      </c>
      <c r="AB34" s="22">
        <f t="shared" si="10"/>
        <v>0</v>
      </c>
      <c r="AC34" s="22">
        <f t="shared" si="10"/>
        <v>0</v>
      </c>
      <c r="AD34" s="22">
        <f t="shared" si="10"/>
        <v>0</v>
      </c>
      <c r="AE34" s="22">
        <f t="shared" si="10"/>
        <v>0</v>
      </c>
      <c r="AF34" s="22">
        <f t="shared" si="10"/>
        <v>0</v>
      </c>
      <c r="AG34" s="22">
        <f t="shared" si="10"/>
        <v>0</v>
      </c>
      <c r="AH34" s="22">
        <f t="shared" si="10"/>
        <v>0</v>
      </c>
      <c r="AI34" s="22">
        <f t="shared" si="10"/>
        <v>0</v>
      </c>
      <c r="AJ34" s="22">
        <f t="shared" si="10"/>
        <v>0</v>
      </c>
      <c r="AK34" s="22">
        <f t="shared" si="10"/>
        <v>0</v>
      </c>
      <c r="AL34" s="22">
        <f t="shared" si="10"/>
        <v>0</v>
      </c>
      <c r="AM34" s="22">
        <f t="shared" si="10"/>
        <v>0</v>
      </c>
      <c r="AN34" s="22">
        <f t="shared" si="10"/>
        <v>0</v>
      </c>
      <c r="AO34" s="22">
        <f t="shared" ref="AO34:AQ34" si="11">SUM(AO25:AO33)</f>
        <v>0</v>
      </c>
      <c r="AP34" s="22">
        <f t="shared" si="11"/>
        <v>0</v>
      </c>
      <c r="AQ34" s="22">
        <f t="shared" si="11"/>
        <v>0</v>
      </c>
    </row>
    <row r="35" spans="1:43" s="44" customFormat="1" ht="25.15" customHeight="1" x14ac:dyDescent="0.5">
      <c r="A35" s="45"/>
      <c r="B35" s="242" t="s">
        <v>49</v>
      </c>
      <c r="C35" s="243"/>
      <c r="D35" s="244"/>
      <c r="E35" s="38">
        <f t="shared" ref="E35:F35" si="12">E23+E34</f>
        <v>61</v>
      </c>
      <c r="F35" s="38">
        <f t="shared" si="12"/>
        <v>832</v>
      </c>
      <c r="G35" s="38">
        <f>G23+G34</f>
        <v>540.40000000000009</v>
      </c>
      <c r="H35" s="38">
        <f t="shared" ref="H35:J35" si="13">H23+H34</f>
        <v>70</v>
      </c>
      <c r="I35" s="38">
        <f t="shared" si="13"/>
        <v>980</v>
      </c>
      <c r="J35" s="38">
        <f t="shared" si="13"/>
        <v>627.20000000000005</v>
      </c>
      <c r="K35" s="38">
        <f t="shared" ref="K35" si="14">K23+K34</f>
        <v>50</v>
      </c>
      <c r="L35" s="38">
        <f>L23+L34</f>
        <v>700</v>
      </c>
      <c r="M35" s="94">
        <f t="shared" ref="M35:N35" si="15">M23+M34</f>
        <v>448</v>
      </c>
      <c r="N35" s="38">
        <f t="shared" si="15"/>
        <v>0</v>
      </c>
      <c r="O35" s="38"/>
      <c r="P35" s="37">
        <f t="shared" ref="P35:R35" si="16">P23+P34</f>
        <v>0</v>
      </c>
      <c r="Q35" s="38">
        <f t="shared" si="16"/>
        <v>50</v>
      </c>
      <c r="R35" s="38">
        <f t="shared" si="16"/>
        <v>700</v>
      </c>
      <c r="S35" s="37">
        <f t="shared" ref="S35:T35" si="17">S23+S34</f>
        <v>448</v>
      </c>
      <c r="T35" s="38">
        <f t="shared" si="17"/>
        <v>0</v>
      </c>
      <c r="U35" s="38"/>
      <c r="V35" s="37">
        <f t="shared" ref="V35:W35" si="18">V23+V34</f>
        <v>0</v>
      </c>
      <c r="W35" s="38">
        <f t="shared" si="18"/>
        <v>51</v>
      </c>
      <c r="X35" s="38"/>
      <c r="Y35" s="37">
        <f t="shared" ref="Y35:Z35" si="19">Y23+Y34</f>
        <v>462</v>
      </c>
      <c r="Z35" s="38">
        <f t="shared" si="19"/>
        <v>50</v>
      </c>
      <c r="AA35" s="38"/>
      <c r="AB35" s="37">
        <f t="shared" ref="AB35:AC35" si="20">AB23+AB34</f>
        <v>448</v>
      </c>
      <c r="AC35" s="38">
        <f t="shared" si="20"/>
        <v>30</v>
      </c>
      <c r="AD35" s="38"/>
      <c r="AE35" s="37">
        <f t="shared" ref="AE35:AF35" si="21">AE23+AE34</f>
        <v>268.8</v>
      </c>
      <c r="AF35" s="38">
        <f t="shared" si="21"/>
        <v>50</v>
      </c>
      <c r="AG35" s="38"/>
      <c r="AH35" s="37">
        <f t="shared" ref="AH35:AI35" si="22">AH23+AH34</f>
        <v>448</v>
      </c>
      <c r="AI35" s="38">
        <f t="shared" si="22"/>
        <v>50</v>
      </c>
      <c r="AJ35" s="38"/>
      <c r="AK35" s="37">
        <f t="shared" ref="AK35:AL35" si="23">AK23+AK34</f>
        <v>448</v>
      </c>
      <c r="AL35" s="38">
        <f t="shared" si="23"/>
        <v>110</v>
      </c>
      <c r="AM35" s="38"/>
      <c r="AN35" s="37">
        <f t="shared" ref="AN35:AO35" si="24">AN23+AN34</f>
        <v>985.6</v>
      </c>
      <c r="AO35" s="38">
        <f t="shared" si="24"/>
        <v>0</v>
      </c>
      <c r="AP35" s="38"/>
      <c r="AQ35" s="37">
        <f t="shared" ref="AQ35" si="25">AQ23+AQ34</f>
        <v>0</v>
      </c>
    </row>
    <row r="37" spans="1:43" x14ac:dyDescent="0.5">
      <c r="F37" s="53"/>
      <c r="G37" s="53"/>
    </row>
    <row r="38" spans="1:43" ht="25.15" customHeight="1" x14ac:dyDescent="0.5">
      <c r="B38" s="41" t="s">
        <v>164</v>
      </c>
    </row>
    <row r="39" spans="1:43" ht="15" customHeight="1" x14ac:dyDescent="0.5"/>
    <row r="40" spans="1:43" ht="42.75" customHeight="1" x14ac:dyDescent="0.5">
      <c r="A40" s="245" t="s">
        <v>52</v>
      </c>
      <c r="B40" s="245" t="s">
        <v>51</v>
      </c>
      <c r="C40" s="247" t="s">
        <v>117</v>
      </c>
      <c r="D40" s="247" t="s">
        <v>95</v>
      </c>
      <c r="E40" s="236" t="s">
        <v>114</v>
      </c>
      <c r="F40" s="237"/>
      <c r="G40" s="238"/>
      <c r="H40" s="236" t="s">
        <v>58</v>
      </c>
      <c r="I40" s="237"/>
      <c r="J40" s="238"/>
      <c r="K40" s="236" t="s">
        <v>59</v>
      </c>
      <c r="L40" s="237"/>
      <c r="M40" s="238"/>
      <c r="N40" s="236" t="s">
        <v>60</v>
      </c>
      <c r="O40" s="237"/>
      <c r="P40" s="238"/>
      <c r="Q40" s="236" t="s">
        <v>61</v>
      </c>
      <c r="R40" s="237"/>
      <c r="S40" s="238"/>
      <c r="T40" s="236" t="s">
        <v>62</v>
      </c>
      <c r="U40" s="237"/>
      <c r="V40" s="238"/>
      <c r="W40" s="236" t="s">
        <v>63</v>
      </c>
      <c r="X40" s="237"/>
      <c r="Y40" s="238"/>
      <c r="Z40" s="236" t="s">
        <v>64</v>
      </c>
      <c r="AA40" s="237"/>
      <c r="AB40" s="238"/>
      <c r="AC40" s="236" t="s">
        <v>65</v>
      </c>
      <c r="AD40" s="237"/>
      <c r="AE40" s="238"/>
      <c r="AF40" s="236" t="s">
        <v>18</v>
      </c>
      <c r="AG40" s="237"/>
      <c r="AH40" s="238"/>
      <c r="AI40" s="236" t="s">
        <v>17</v>
      </c>
      <c r="AJ40" s="237"/>
      <c r="AK40" s="238"/>
      <c r="AL40" s="236" t="s">
        <v>16</v>
      </c>
      <c r="AM40" s="237"/>
      <c r="AN40" s="238"/>
      <c r="AO40" s="236" t="s">
        <v>10</v>
      </c>
      <c r="AP40" s="237"/>
      <c r="AQ40" s="238"/>
    </row>
    <row r="41" spans="1:43" ht="25.15" customHeight="1" x14ac:dyDescent="0.5">
      <c r="A41" s="246"/>
      <c r="B41" s="246"/>
      <c r="C41" s="248"/>
      <c r="D41" s="248"/>
      <c r="E41" s="40" t="s">
        <v>50</v>
      </c>
      <c r="F41" s="40" t="s">
        <v>56</v>
      </c>
      <c r="G41" s="40" t="s">
        <v>93</v>
      </c>
      <c r="H41" s="40" t="s">
        <v>50</v>
      </c>
      <c r="I41" s="40" t="s">
        <v>56</v>
      </c>
      <c r="J41" s="40" t="s">
        <v>57</v>
      </c>
      <c r="K41" s="40" t="s">
        <v>50</v>
      </c>
      <c r="L41" s="40" t="s">
        <v>56</v>
      </c>
      <c r="M41" s="40" t="s">
        <v>57</v>
      </c>
      <c r="N41" s="40" t="s">
        <v>50</v>
      </c>
      <c r="O41" s="40" t="s">
        <v>56</v>
      </c>
      <c r="P41" s="40" t="s">
        <v>57</v>
      </c>
      <c r="Q41" s="40" t="s">
        <v>50</v>
      </c>
      <c r="R41" s="40" t="s">
        <v>56</v>
      </c>
      <c r="S41" s="40" t="s">
        <v>57</v>
      </c>
      <c r="T41" s="40" t="s">
        <v>50</v>
      </c>
      <c r="U41" s="40" t="s">
        <v>56</v>
      </c>
      <c r="V41" s="40" t="s">
        <v>57</v>
      </c>
      <c r="W41" s="40" t="s">
        <v>50</v>
      </c>
      <c r="X41" s="40" t="s">
        <v>56</v>
      </c>
      <c r="Y41" s="40" t="s">
        <v>57</v>
      </c>
      <c r="Z41" s="40" t="s">
        <v>50</v>
      </c>
      <c r="AA41" s="40" t="s">
        <v>56</v>
      </c>
      <c r="AB41" s="40" t="s">
        <v>57</v>
      </c>
      <c r="AC41" s="40" t="s">
        <v>50</v>
      </c>
      <c r="AD41" s="40" t="s">
        <v>56</v>
      </c>
      <c r="AE41" s="40" t="s">
        <v>57</v>
      </c>
      <c r="AF41" s="40" t="s">
        <v>50</v>
      </c>
      <c r="AG41" s="40" t="s">
        <v>56</v>
      </c>
      <c r="AH41" s="40" t="s">
        <v>57</v>
      </c>
      <c r="AI41" s="40" t="s">
        <v>50</v>
      </c>
      <c r="AJ41" s="40" t="s">
        <v>56</v>
      </c>
      <c r="AK41" s="40" t="s">
        <v>57</v>
      </c>
      <c r="AL41" s="40" t="s">
        <v>50</v>
      </c>
      <c r="AM41" s="40" t="s">
        <v>56</v>
      </c>
      <c r="AN41" s="40" t="s">
        <v>57</v>
      </c>
      <c r="AO41" s="40" t="s">
        <v>50</v>
      </c>
      <c r="AP41" s="40" t="s">
        <v>56</v>
      </c>
      <c r="AQ41" s="40" t="s">
        <v>57</v>
      </c>
    </row>
    <row r="42" spans="1:43" ht="24" customHeight="1" x14ac:dyDescent="0.5">
      <c r="A42" s="28">
        <v>1</v>
      </c>
      <c r="B42" s="1" t="s">
        <v>88</v>
      </c>
      <c r="C42" s="30">
        <v>0.64</v>
      </c>
      <c r="D42" s="30" t="s">
        <v>99</v>
      </c>
      <c r="E42" s="28"/>
      <c r="F42" s="28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ht="24" customHeight="1" x14ac:dyDescent="0.5">
      <c r="A43" s="28">
        <v>2</v>
      </c>
      <c r="B43" s="1" t="s">
        <v>147</v>
      </c>
      <c r="C43" s="30">
        <v>1</v>
      </c>
      <c r="D43" s="30" t="s">
        <v>135</v>
      </c>
      <c r="E43" s="28"/>
      <c r="F43" s="28"/>
      <c r="G43" s="29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</row>
    <row r="44" spans="1:43" ht="24" customHeight="1" x14ac:dyDescent="0.5">
      <c r="A44" s="28">
        <v>3</v>
      </c>
      <c r="B44" s="1" t="s">
        <v>118</v>
      </c>
      <c r="C44" s="30">
        <v>0.64</v>
      </c>
      <c r="D44" s="30" t="s">
        <v>99</v>
      </c>
      <c r="E44" s="28"/>
      <c r="F44" s="28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4" customHeight="1" x14ac:dyDescent="0.5">
      <c r="A45" s="28">
        <v>4</v>
      </c>
      <c r="B45" s="1" t="s">
        <v>149</v>
      </c>
      <c r="C45" s="30">
        <v>0.64</v>
      </c>
      <c r="D45" s="30" t="s">
        <v>119</v>
      </c>
      <c r="E45" s="28"/>
      <c r="F45" s="28"/>
      <c r="G45" s="29"/>
      <c r="H45" s="28">
        <v>1</v>
      </c>
      <c r="I45" s="28">
        <v>14</v>
      </c>
      <c r="J45" s="28">
        <v>8.9600000000000009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4" customHeight="1" x14ac:dyDescent="0.5">
      <c r="A46" s="28">
        <v>5</v>
      </c>
      <c r="B46" s="1" t="s">
        <v>9</v>
      </c>
      <c r="C46" s="30">
        <v>0.64</v>
      </c>
      <c r="D46" s="30" t="s">
        <v>99</v>
      </c>
      <c r="E46" s="28"/>
      <c r="F46" s="28"/>
      <c r="G46" s="29"/>
      <c r="H46" s="28">
        <v>50</v>
      </c>
      <c r="I46" s="28">
        <v>700</v>
      </c>
      <c r="J46" s="28">
        <v>448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s="41" customFormat="1" ht="24" customHeight="1" x14ac:dyDescent="0.5">
      <c r="A47" s="24"/>
      <c r="B47" s="239" t="s">
        <v>10</v>
      </c>
      <c r="C47" s="240"/>
      <c r="D47" s="241"/>
      <c r="E47" s="22">
        <f t="shared" ref="E47:I47" si="26">SUM(E42:E46)</f>
        <v>0</v>
      </c>
      <c r="F47" s="22">
        <f t="shared" si="26"/>
        <v>0</v>
      </c>
      <c r="G47" s="22">
        <f t="shared" si="26"/>
        <v>0</v>
      </c>
      <c r="H47" s="22">
        <f t="shared" si="26"/>
        <v>51</v>
      </c>
      <c r="I47" s="22">
        <f t="shared" si="26"/>
        <v>714</v>
      </c>
      <c r="J47" s="22">
        <f>SUM(J42:J46)</f>
        <v>456.96</v>
      </c>
      <c r="K47" s="22">
        <f t="shared" ref="K47:AQ47" si="27">SUM(K42:K46)</f>
        <v>0</v>
      </c>
      <c r="L47" s="22">
        <f t="shared" si="27"/>
        <v>0</v>
      </c>
      <c r="M47" s="22">
        <f t="shared" si="27"/>
        <v>0</v>
      </c>
      <c r="N47" s="22">
        <f t="shared" si="27"/>
        <v>0</v>
      </c>
      <c r="O47" s="22">
        <f t="shared" si="27"/>
        <v>0</v>
      </c>
      <c r="P47" s="22">
        <f t="shared" si="27"/>
        <v>0</v>
      </c>
      <c r="Q47" s="22">
        <f t="shared" si="27"/>
        <v>0</v>
      </c>
      <c r="R47" s="22">
        <f t="shared" si="27"/>
        <v>0</v>
      </c>
      <c r="S47" s="22">
        <f t="shared" si="27"/>
        <v>0</v>
      </c>
      <c r="T47" s="22">
        <f t="shared" si="27"/>
        <v>0</v>
      </c>
      <c r="U47" s="22">
        <f t="shared" si="27"/>
        <v>0</v>
      </c>
      <c r="V47" s="22">
        <f t="shared" si="27"/>
        <v>0</v>
      </c>
      <c r="W47" s="22">
        <f t="shared" si="27"/>
        <v>0</v>
      </c>
      <c r="X47" s="22">
        <f t="shared" si="27"/>
        <v>0</v>
      </c>
      <c r="Y47" s="22">
        <f t="shared" si="27"/>
        <v>0</v>
      </c>
      <c r="Z47" s="22">
        <f t="shared" si="27"/>
        <v>0</v>
      </c>
      <c r="AA47" s="22">
        <f t="shared" si="27"/>
        <v>0</v>
      </c>
      <c r="AB47" s="22">
        <f t="shared" si="27"/>
        <v>0</v>
      </c>
      <c r="AC47" s="22">
        <f t="shared" si="27"/>
        <v>0</v>
      </c>
      <c r="AD47" s="22">
        <f t="shared" si="27"/>
        <v>0</v>
      </c>
      <c r="AE47" s="22">
        <f t="shared" si="27"/>
        <v>0</v>
      </c>
      <c r="AF47" s="22">
        <f t="shared" si="27"/>
        <v>0</v>
      </c>
      <c r="AG47" s="22">
        <f t="shared" si="27"/>
        <v>0</v>
      </c>
      <c r="AH47" s="22">
        <f t="shared" si="27"/>
        <v>0</v>
      </c>
      <c r="AI47" s="22">
        <f t="shared" si="27"/>
        <v>0</v>
      </c>
      <c r="AJ47" s="22">
        <f t="shared" si="27"/>
        <v>0</v>
      </c>
      <c r="AK47" s="22">
        <f t="shared" si="27"/>
        <v>0</v>
      </c>
      <c r="AL47" s="22">
        <f t="shared" si="27"/>
        <v>0</v>
      </c>
      <c r="AM47" s="22">
        <f t="shared" si="27"/>
        <v>0</v>
      </c>
      <c r="AN47" s="22">
        <f t="shared" si="27"/>
        <v>0</v>
      </c>
      <c r="AO47" s="22">
        <f t="shared" si="27"/>
        <v>0</v>
      </c>
      <c r="AP47" s="22">
        <f t="shared" si="27"/>
        <v>0</v>
      </c>
      <c r="AQ47" s="22">
        <f t="shared" si="27"/>
        <v>0</v>
      </c>
    </row>
    <row r="48" spans="1:43" ht="24" customHeight="1" x14ac:dyDescent="0.5">
      <c r="A48" s="39"/>
      <c r="B48" s="30"/>
      <c r="C48" s="30"/>
      <c r="D48" s="30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5.15" customHeight="1" x14ac:dyDescent="0.5">
      <c r="A49" s="29">
        <v>3</v>
      </c>
      <c r="B49" s="30" t="s">
        <v>6</v>
      </c>
      <c r="C49" s="1">
        <v>0.7</v>
      </c>
      <c r="D49" s="1" t="s">
        <v>96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</row>
    <row r="50" spans="1:43" ht="25.15" hidden="1" customHeight="1" x14ac:dyDescent="0.5">
      <c r="A50" s="39">
        <v>2</v>
      </c>
      <c r="B50" s="30" t="s">
        <v>5</v>
      </c>
      <c r="C50" s="1">
        <v>0.35</v>
      </c>
      <c r="D50" s="1" t="s">
        <v>98</v>
      </c>
      <c r="E50" s="29"/>
      <c r="F50" s="29"/>
      <c r="G50" s="29">
        <f t="shared" ref="G50:G57" si="28">F50*C50</f>
        <v>0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</row>
    <row r="51" spans="1:43" ht="25.15" hidden="1" customHeight="1" x14ac:dyDescent="0.5">
      <c r="A51" s="39">
        <v>3</v>
      </c>
      <c r="B51" s="30" t="s">
        <v>4</v>
      </c>
      <c r="C51" s="1">
        <v>0.17499999999999999</v>
      </c>
      <c r="D51" s="1" t="s">
        <v>100</v>
      </c>
      <c r="E51" s="29"/>
      <c r="F51" s="29"/>
      <c r="G51" s="29">
        <f t="shared" si="28"/>
        <v>0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</row>
    <row r="52" spans="1:43" ht="25.15" hidden="1" customHeight="1" x14ac:dyDescent="0.5">
      <c r="A52" s="39">
        <v>4</v>
      </c>
      <c r="B52" s="30" t="s">
        <v>3</v>
      </c>
      <c r="C52" s="1">
        <v>0.7</v>
      </c>
      <c r="D52" s="1" t="s">
        <v>96</v>
      </c>
      <c r="E52" s="29"/>
      <c r="F52" s="29"/>
      <c r="G52" s="29">
        <f t="shared" si="28"/>
        <v>0</v>
      </c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</row>
    <row r="53" spans="1:43" ht="25.15" hidden="1" customHeight="1" x14ac:dyDescent="0.5">
      <c r="A53" s="39">
        <v>5</v>
      </c>
      <c r="B53" s="30" t="s">
        <v>2</v>
      </c>
      <c r="C53" s="1">
        <v>0.35</v>
      </c>
      <c r="D53" s="1" t="s">
        <v>98</v>
      </c>
      <c r="E53" s="29"/>
      <c r="F53" s="29"/>
      <c r="G53" s="29">
        <f t="shared" si="28"/>
        <v>0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</row>
    <row r="54" spans="1:43" ht="25.15" hidden="1" customHeight="1" x14ac:dyDescent="0.5">
      <c r="A54" s="39">
        <v>6</v>
      </c>
      <c r="B54" s="30" t="s">
        <v>1</v>
      </c>
      <c r="C54" s="1">
        <v>0.17499999999999999</v>
      </c>
      <c r="D54" s="1" t="s">
        <v>100</v>
      </c>
      <c r="E54" s="29"/>
      <c r="F54" s="29"/>
      <c r="G54" s="29">
        <f t="shared" si="28"/>
        <v>0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</row>
    <row r="55" spans="1:43" ht="25.15" hidden="1" customHeight="1" x14ac:dyDescent="0.5">
      <c r="A55" s="39">
        <v>7</v>
      </c>
      <c r="B55" s="30" t="s">
        <v>0</v>
      </c>
      <c r="C55" s="1">
        <v>0.7</v>
      </c>
      <c r="D55" s="1" t="s">
        <v>96</v>
      </c>
      <c r="E55" s="29"/>
      <c r="F55" s="29"/>
      <c r="G55" s="29">
        <f t="shared" si="28"/>
        <v>0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</row>
    <row r="56" spans="1:43" ht="25.15" hidden="1" customHeight="1" x14ac:dyDescent="0.5">
      <c r="A56" s="39">
        <v>8</v>
      </c>
      <c r="B56" s="30" t="s">
        <v>8</v>
      </c>
      <c r="C56" s="1">
        <v>0.7</v>
      </c>
      <c r="D56" s="1" t="s">
        <v>96</v>
      </c>
      <c r="E56" s="29"/>
      <c r="F56" s="29"/>
      <c r="G56" s="29">
        <f t="shared" si="28"/>
        <v>0</v>
      </c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</row>
    <row r="57" spans="1:43" ht="25.15" hidden="1" customHeight="1" x14ac:dyDescent="0.5">
      <c r="A57" s="39">
        <v>9</v>
      </c>
      <c r="B57" s="30" t="s">
        <v>7</v>
      </c>
      <c r="C57" s="1">
        <v>0.35</v>
      </c>
      <c r="D57" s="1" t="s">
        <v>98</v>
      </c>
      <c r="E57" s="29"/>
      <c r="F57" s="29"/>
      <c r="G57" s="29">
        <f t="shared" si="28"/>
        <v>0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</row>
    <row r="58" spans="1:43" ht="25.15" customHeight="1" x14ac:dyDescent="0.5">
      <c r="A58" s="46"/>
      <c r="B58" s="239" t="s">
        <v>10</v>
      </c>
      <c r="C58" s="240"/>
      <c r="D58" s="241"/>
      <c r="E58" s="22">
        <f t="shared" ref="E58:F58" si="29">SUM(E49:E57)</f>
        <v>0</v>
      </c>
      <c r="F58" s="22">
        <f t="shared" si="29"/>
        <v>0</v>
      </c>
      <c r="G58" s="22">
        <f>SUM(G49:G57)</f>
        <v>0</v>
      </c>
      <c r="H58" s="22">
        <f t="shared" ref="H58:AQ58" si="30">SUM(H49:H57)</f>
        <v>0</v>
      </c>
      <c r="I58" s="22">
        <f t="shared" si="30"/>
        <v>0</v>
      </c>
      <c r="J58" s="22">
        <f t="shared" si="30"/>
        <v>0</v>
      </c>
      <c r="K58" s="22">
        <f t="shared" si="30"/>
        <v>0</v>
      </c>
      <c r="L58" s="22">
        <f t="shared" si="30"/>
        <v>0</v>
      </c>
      <c r="M58" s="22">
        <f t="shared" si="30"/>
        <v>0</v>
      </c>
      <c r="N58" s="22">
        <f t="shared" si="30"/>
        <v>0</v>
      </c>
      <c r="O58" s="22">
        <f t="shared" si="30"/>
        <v>0</v>
      </c>
      <c r="P58" s="22">
        <f t="shared" si="30"/>
        <v>0</v>
      </c>
      <c r="Q58" s="22">
        <f t="shared" si="30"/>
        <v>0</v>
      </c>
      <c r="R58" s="22">
        <f t="shared" si="30"/>
        <v>0</v>
      </c>
      <c r="S58" s="22">
        <f t="shared" si="30"/>
        <v>0</v>
      </c>
      <c r="T58" s="22">
        <f t="shared" si="30"/>
        <v>0</v>
      </c>
      <c r="U58" s="22">
        <f t="shared" si="30"/>
        <v>0</v>
      </c>
      <c r="V58" s="22">
        <f t="shared" si="30"/>
        <v>0</v>
      </c>
      <c r="W58" s="22">
        <f t="shared" si="30"/>
        <v>0</v>
      </c>
      <c r="X58" s="22">
        <f t="shared" si="30"/>
        <v>0</v>
      </c>
      <c r="Y58" s="22">
        <f t="shared" si="30"/>
        <v>0</v>
      </c>
      <c r="Z58" s="22">
        <f t="shared" si="30"/>
        <v>0</v>
      </c>
      <c r="AA58" s="22">
        <f t="shared" si="30"/>
        <v>0</v>
      </c>
      <c r="AB58" s="22">
        <f t="shared" si="30"/>
        <v>0</v>
      </c>
      <c r="AC58" s="22">
        <f t="shared" si="30"/>
        <v>0</v>
      </c>
      <c r="AD58" s="22">
        <f t="shared" si="30"/>
        <v>0</v>
      </c>
      <c r="AE58" s="22">
        <f t="shared" si="30"/>
        <v>0</v>
      </c>
      <c r="AF58" s="22">
        <f t="shared" si="30"/>
        <v>0</v>
      </c>
      <c r="AG58" s="22">
        <f t="shared" si="30"/>
        <v>0</v>
      </c>
      <c r="AH58" s="22">
        <f t="shared" si="30"/>
        <v>0</v>
      </c>
      <c r="AI58" s="22">
        <f t="shared" si="30"/>
        <v>0</v>
      </c>
      <c r="AJ58" s="22">
        <f t="shared" si="30"/>
        <v>0</v>
      </c>
      <c r="AK58" s="22">
        <f t="shared" si="30"/>
        <v>0</v>
      </c>
      <c r="AL58" s="22">
        <f t="shared" si="30"/>
        <v>0</v>
      </c>
      <c r="AM58" s="22">
        <f t="shared" si="30"/>
        <v>0</v>
      </c>
      <c r="AN58" s="22">
        <f t="shared" si="30"/>
        <v>0</v>
      </c>
      <c r="AO58" s="22">
        <f t="shared" si="30"/>
        <v>0</v>
      </c>
      <c r="AP58" s="22">
        <f t="shared" si="30"/>
        <v>0</v>
      </c>
      <c r="AQ58" s="22">
        <f t="shared" si="30"/>
        <v>0</v>
      </c>
    </row>
    <row r="59" spans="1:43" s="44" customFormat="1" ht="25.15" customHeight="1" x14ac:dyDescent="0.5">
      <c r="A59" s="45"/>
      <c r="B59" s="242" t="s">
        <v>49</v>
      </c>
      <c r="C59" s="243"/>
      <c r="D59" s="244"/>
      <c r="E59" s="38">
        <f t="shared" ref="E59:F59" si="31">E47+E58</f>
        <v>0</v>
      </c>
      <c r="F59" s="38">
        <f t="shared" si="31"/>
        <v>0</v>
      </c>
      <c r="G59" s="38">
        <f>G47+G58</f>
        <v>0</v>
      </c>
      <c r="H59" s="38">
        <f t="shared" ref="H59:K59" si="32">H47+H58</f>
        <v>51</v>
      </c>
      <c r="I59" s="38">
        <f t="shared" si="32"/>
        <v>714</v>
      </c>
      <c r="J59" s="38">
        <f t="shared" si="32"/>
        <v>456.96</v>
      </c>
      <c r="K59" s="38">
        <f t="shared" si="32"/>
        <v>0</v>
      </c>
      <c r="L59" s="38">
        <f>L47+L58</f>
        <v>0</v>
      </c>
      <c r="M59" s="94">
        <f t="shared" ref="M59:N59" si="33">M47+M58</f>
        <v>0</v>
      </c>
      <c r="N59" s="38">
        <f t="shared" si="33"/>
        <v>0</v>
      </c>
      <c r="O59" s="38"/>
      <c r="P59" s="37">
        <f t="shared" ref="P59:T59" si="34">P47+P58</f>
        <v>0</v>
      </c>
      <c r="Q59" s="38">
        <f t="shared" si="34"/>
        <v>0</v>
      </c>
      <c r="R59" s="38">
        <f t="shared" si="34"/>
        <v>0</v>
      </c>
      <c r="S59" s="37">
        <f t="shared" si="34"/>
        <v>0</v>
      </c>
      <c r="T59" s="38">
        <f t="shared" si="34"/>
        <v>0</v>
      </c>
      <c r="U59" s="38"/>
      <c r="V59" s="37">
        <f t="shared" ref="V59:W59" si="35">V47+V58</f>
        <v>0</v>
      </c>
      <c r="W59" s="38">
        <f t="shared" si="35"/>
        <v>0</v>
      </c>
      <c r="X59" s="38"/>
      <c r="Y59" s="37">
        <f t="shared" ref="Y59:Z59" si="36">Y47+Y58</f>
        <v>0</v>
      </c>
      <c r="Z59" s="38">
        <f t="shared" si="36"/>
        <v>0</v>
      </c>
      <c r="AA59" s="38"/>
      <c r="AB59" s="37">
        <f t="shared" ref="AB59:AC59" si="37">AB47+AB58</f>
        <v>0</v>
      </c>
      <c r="AC59" s="38">
        <f t="shared" si="37"/>
        <v>0</v>
      </c>
      <c r="AD59" s="38"/>
      <c r="AE59" s="37">
        <f t="shared" ref="AE59:AF59" si="38">AE47+AE58</f>
        <v>0</v>
      </c>
      <c r="AF59" s="38">
        <f t="shared" si="38"/>
        <v>0</v>
      </c>
      <c r="AG59" s="38"/>
      <c r="AH59" s="37">
        <f t="shared" ref="AH59:AI59" si="39">AH47+AH58</f>
        <v>0</v>
      </c>
      <c r="AI59" s="38">
        <f t="shared" si="39"/>
        <v>0</v>
      </c>
      <c r="AJ59" s="38"/>
      <c r="AK59" s="37">
        <f t="shared" ref="AK59:AL59" si="40">AK47+AK58</f>
        <v>0</v>
      </c>
      <c r="AL59" s="38">
        <f t="shared" si="40"/>
        <v>0</v>
      </c>
      <c r="AM59" s="38"/>
      <c r="AN59" s="37">
        <f t="shared" ref="AN59:AO59" si="41">AN47+AN58</f>
        <v>0</v>
      </c>
      <c r="AO59" s="38">
        <f t="shared" si="41"/>
        <v>0</v>
      </c>
      <c r="AP59" s="38"/>
      <c r="AQ59" s="37">
        <f t="shared" ref="AQ59" si="42">AQ47+AQ58</f>
        <v>0</v>
      </c>
    </row>
  </sheetData>
  <mergeCells count="58">
    <mergeCell ref="AO17:AQ17"/>
    <mergeCell ref="AL3:AN3"/>
    <mergeCell ref="B8:D8"/>
    <mergeCell ref="AO3:AQ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T17:V17"/>
    <mergeCell ref="AF17:AH17"/>
    <mergeCell ref="A3:A4"/>
    <mergeCell ref="B3:B4"/>
    <mergeCell ref="C3:C4"/>
    <mergeCell ref="D3:D4"/>
    <mergeCell ref="E3:G3"/>
    <mergeCell ref="AI17:AK17"/>
    <mergeCell ref="AL17:AN17"/>
    <mergeCell ref="C17:C18"/>
    <mergeCell ref="E17:G17"/>
    <mergeCell ref="H17:J17"/>
    <mergeCell ref="K17:M17"/>
    <mergeCell ref="N17:P17"/>
    <mergeCell ref="Q17:S17"/>
    <mergeCell ref="W17:Y17"/>
    <mergeCell ref="Z17:AB17"/>
    <mergeCell ref="AC17:AE17"/>
    <mergeCell ref="B35:D35"/>
    <mergeCell ref="B34:D34"/>
    <mergeCell ref="A17:A18"/>
    <mergeCell ref="B17:B18"/>
    <mergeCell ref="D17:D18"/>
    <mergeCell ref="B23:D23"/>
    <mergeCell ref="A40:A41"/>
    <mergeCell ref="B40:B41"/>
    <mergeCell ref="C40:C41"/>
    <mergeCell ref="D40:D41"/>
    <mergeCell ref="E40:G40"/>
    <mergeCell ref="AL40:AN40"/>
    <mergeCell ref="AO40:AQ40"/>
    <mergeCell ref="B47:D47"/>
    <mergeCell ref="B58:D58"/>
    <mergeCell ref="B59:D59"/>
    <mergeCell ref="W40:Y40"/>
    <mergeCell ref="Z40:AB40"/>
    <mergeCell ref="AC40:AE40"/>
    <mergeCell ref="AF40:AH40"/>
    <mergeCell ref="AI40:AK40"/>
    <mergeCell ref="H40:J40"/>
    <mergeCell ref="K40:M40"/>
    <mergeCell ref="N40:P40"/>
    <mergeCell ref="Q40:S40"/>
    <mergeCell ref="T40:V4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2F6C-DC47-4FB3-85E2-BF259C11C770}">
  <dimension ref="A2:AQ23"/>
  <sheetViews>
    <sheetView workbookViewId="0">
      <selection activeCell="H12" sqref="H12"/>
    </sheetView>
  </sheetViews>
  <sheetFormatPr defaultRowHeight="15" x14ac:dyDescent="0.25"/>
  <cols>
    <col min="1" max="1" width="3.85546875" customWidth="1"/>
    <col min="2" max="2" width="31.5703125" customWidth="1"/>
  </cols>
  <sheetData>
    <row r="2" spans="1:43" s="42" customFormat="1" ht="25.15" customHeight="1" x14ac:dyDescent="0.5">
      <c r="B2" s="41" t="s">
        <v>167</v>
      </c>
    </row>
    <row r="3" spans="1:43" s="42" customFormat="1" ht="15" customHeight="1" x14ac:dyDescent="0.5"/>
    <row r="4" spans="1:43" s="42" customFormat="1" ht="42.75" customHeight="1" x14ac:dyDescent="0.5">
      <c r="A4" s="245" t="s">
        <v>52</v>
      </c>
      <c r="B4" s="245" t="s">
        <v>51</v>
      </c>
      <c r="C4" s="247" t="s">
        <v>117</v>
      </c>
      <c r="D4" s="247" t="s">
        <v>95</v>
      </c>
      <c r="E4" s="236" t="s">
        <v>114</v>
      </c>
      <c r="F4" s="237"/>
      <c r="G4" s="238"/>
      <c r="H4" s="236" t="s">
        <v>58</v>
      </c>
      <c r="I4" s="237"/>
      <c r="J4" s="238"/>
      <c r="K4" s="236" t="s">
        <v>59</v>
      </c>
      <c r="L4" s="237"/>
      <c r="M4" s="238"/>
      <c r="N4" s="236" t="s">
        <v>60</v>
      </c>
      <c r="O4" s="237"/>
      <c r="P4" s="238"/>
      <c r="Q4" s="236" t="s">
        <v>61</v>
      </c>
      <c r="R4" s="237"/>
      <c r="S4" s="238"/>
      <c r="T4" s="236" t="s">
        <v>62</v>
      </c>
      <c r="U4" s="237"/>
      <c r="V4" s="238"/>
      <c r="W4" s="236" t="s">
        <v>63</v>
      </c>
      <c r="X4" s="237"/>
      <c r="Y4" s="238"/>
      <c r="Z4" s="236" t="s">
        <v>64</v>
      </c>
      <c r="AA4" s="237"/>
      <c r="AB4" s="238"/>
      <c r="AC4" s="236" t="s">
        <v>65</v>
      </c>
      <c r="AD4" s="237"/>
      <c r="AE4" s="238"/>
      <c r="AF4" s="236" t="s">
        <v>18</v>
      </c>
      <c r="AG4" s="237"/>
      <c r="AH4" s="238"/>
      <c r="AI4" s="236" t="s">
        <v>17</v>
      </c>
      <c r="AJ4" s="237"/>
      <c r="AK4" s="238"/>
      <c r="AL4" s="236" t="s">
        <v>16</v>
      </c>
      <c r="AM4" s="237"/>
      <c r="AN4" s="238"/>
      <c r="AO4" s="236" t="s">
        <v>10</v>
      </c>
      <c r="AP4" s="237"/>
      <c r="AQ4" s="238"/>
    </row>
    <row r="5" spans="1:43" s="42" customFormat="1" ht="25.15" customHeight="1" x14ac:dyDescent="0.5">
      <c r="A5" s="246"/>
      <c r="B5" s="246"/>
      <c r="C5" s="248"/>
      <c r="D5" s="248"/>
      <c r="E5" s="40" t="s">
        <v>50</v>
      </c>
      <c r="F5" s="40" t="s">
        <v>56</v>
      </c>
      <c r="G5" s="40" t="s">
        <v>93</v>
      </c>
      <c r="H5" s="40" t="s">
        <v>50</v>
      </c>
      <c r="I5" s="40" t="s">
        <v>56</v>
      </c>
      <c r="J5" s="40" t="s">
        <v>57</v>
      </c>
      <c r="K5" s="40" t="s">
        <v>50</v>
      </c>
      <c r="L5" s="40" t="s">
        <v>56</v>
      </c>
      <c r="M5" s="40" t="s">
        <v>57</v>
      </c>
      <c r="N5" s="40" t="s">
        <v>50</v>
      </c>
      <c r="O5" s="40" t="s">
        <v>56</v>
      </c>
      <c r="P5" s="40" t="s">
        <v>57</v>
      </c>
      <c r="Q5" s="40" t="s">
        <v>50</v>
      </c>
      <c r="R5" s="40" t="s">
        <v>56</v>
      </c>
      <c r="S5" s="40" t="s">
        <v>57</v>
      </c>
      <c r="T5" s="40" t="s">
        <v>50</v>
      </c>
      <c r="U5" s="40" t="s">
        <v>56</v>
      </c>
      <c r="V5" s="40" t="s">
        <v>57</v>
      </c>
      <c r="W5" s="40" t="s">
        <v>50</v>
      </c>
      <c r="X5" s="40" t="s">
        <v>56</v>
      </c>
      <c r="Y5" s="40" t="s">
        <v>57</v>
      </c>
      <c r="Z5" s="40" t="s">
        <v>50</v>
      </c>
      <c r="AA5" s="40" t="s">
        <v>56</v>
      </c>
      <c r="AB5" s="40" t="s">
        <v>57</v>
      </c>
      <c r="AC5" s="40" t="s">
        <v>50</v>
      </c>
      <c r="AD5" s="40" t="s">
        <v>56</v>
      </c>
      <c r="AE5" s="40" t="s">
        <v>57</v>
      </c>
      <c r="AF5" s="40" t="s">
        <v>50</v>
      </c>
      <c r="AG5" s="40" t="s">
        <v>56</v>
      </c>
      <c r="AH5" s="40" t="s">
        <v>57</v>
      </c>
      <c r="AI5" s="40" t="s">
        <v>50</v>
      </c>
      <c r="AJ5" s="40" t="s">
        <v>56</v>
      </c>
      <c r="AK5" s="40" t="s">
        <v>57</v>
      </c>
      <c r="AL5" s="40" t="s">
        <v>50</v>
      </c>
      <c r="AM5" s="40" t="s">
        <v>56</v>
      </c>
      <c r="AN5" s="40" t="s">
        <v>57</v>
      </c>
      <c r="AO5" s="40" t="s">
        <v>50</v>
      </c>
      <c r="AP5" s="40" t="s">
        <v>56</v>
      </c>
      <c r="AQ5" s="40" t="s">
        <v>57</v>
      </c>
    </row>
    <row r="6" spans="1:43" s="42" customFormat="1" ht="24" customHeight="1" x14ac:dyDescent="0.5">
      <c r="A6" s="28">
        <v>1</v>
      </c>
      <c r="B6" s="1" t="s">
        <v>88</v>
      </c>
      <c r="C6" s="30">
        <v>0.64</v>
      </c>
      <c r="D6" s="30" t="s">
        <v>99</v>
      </c>
      <c r="E6" s="28">
        <v>401</v>
      </c>
      <c r="F6" s="28">
        <v>5614</v>
      </c>
      <c r="G6" s="29">
        <v>3592.96</v>
      </c>
      <c r="H6" s="28">
        <v>400</v>
      </c>
      <c r="I6" s="28">
        <v>5600</v>
      </c>
      <c r="J6" s="28">
        <v>3584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s="42" customFormat="1" ht="24" customHeight="1" x14ac:dyDescent="0.5">
      <c r="A7" s="28">
        <v>2</v>
      </c>
      <c r="B7" s="1" t="s">
        <v>88</v>
      </c>
      <c r="C7" s="30">
        <v>0.64</v>
      </c>
      <c r="D7" s="30" t="s">
        <v>151</v>
      </c>
      <c r="E7" s="28"/>
      <c r="F7" s="28"/>
      <c r="G7" s="29"/>
      <c r="H7" s="28">
        <v>30</v>
      </c>
      <c r="I7" s="28">
        <v>720</v>
      </c>
      <c r="J7" s="28">
        <v>460.8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s="42" customFormat="1" ht="24" customHeight="1" x14ac:dyDescent="0.5">
      <c r="A8" s="28">
        <v>3</v>
      </c>
      <c r="B8" s="1" t="s">
        <v>168</v>
      </c>
      <c r="C8" s="30">
        <v>1</v>
      </c>
      <c r="D8" s="30" t="s">
        <v>135</v>
      </c>
      <c r="E8" s="28">
        <v>225</v>
      </c>
      <c r="F8" s="28">
        <v>2700</v>
      </c>
      <c r="G8" s="29">
        <v>2700</v>
      </c>
      <c r="H8" s="28">
        <v>385</v>
      </c>
      <c r="I8" s="28">
        <v>4620</v>
      </c>
      <c r="J8" s="28">
        <v>4620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s="42" customFormat="1" ht="24" customHeight="1" x14ac:dyDescent="0.5">
      <c r="A9" s="28">
        <v>4</v>
      </c>
      <c r="B9" s="1" t="s">
        <v>169</v>
      </c>
      <c r="C9" s="30">
        <v>0.64</v>
      </c>
      <c r="D9" s="30" t="s">
        <v>151</v>
      </c>
      <c r="E9" s="28">
        <v>20</v>
      </c>
      <c r="F9" s="28">
        <v>480</v>
      </c>
      <c r="G9" s="29">
        <v>307.2</v>
      </c>
      <c r="H9" s="28">
        <v>20</v>
      </c>
      <c r="I9" s="28">
        <v>480</v>
      </c>
      <c r="J9" s="28">
        <v>307.2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s="42" customFormat="1" ht="24" customHeight="1" x14ac:dyDescent="0.5">
      <c r="A10" s="28">
        <v>5</v>
      </c>
      <c r="B10" s="1" t="s">
        <v>149</v>
      </c>
      <c r="C10" s="30">
        <v>0.64</v>
      </c>
      <c r="D10" s="30" t="s">
        <v>99</v>
      </c>
      <c r="E10" s="28">
        <v>2</v>
      </c>
      <c r="F10" s="28">
        <v>28</v>
      </c>
      <c r="G10" s="29">
        <v>17.920000000000002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s="41" customFormat="1" ht="24" customHeight="1" x14ac:dyDescent="0.5">
      <c r="A11" s="24"/>
      <c r="B11" s="239" t="s">
        <v>10</v>
      </c>
      <c r="C11" s="240"/>
      <c r="D11" s="241"/>
      <c r="E11" s="22">
        <f>SUM(E6:E10)</f>
        <v>648</v>
      </c>
      <c r="F11" s="22">
        <f t="shared" ref="F11:I11" si="0">SUM(F6:F10)</f>
        <v>8822</v>
      </c>
      <c r="G11" s="22">
        <f t="shared" si="0"/>
        <v>6618.08</v>
      </c>
      <c r="H11" s="22">
        <f>SUM(H6:H10)</f>
        <v>835</v>
      </c>
      <c r="I11" s="22">
        <f t="shared" si="0"/>
        <v>11420</v>
      </c>
      <c r="J11" s="22">
        <f>SUM(J6:J10)</f>
        <v>8972</v>
      </c>
      <c r="K11" s="22">
        <f t="shared" ref="K11:AQ11" si="1">SUM(K6:K10)</f>
        <v>0</v>
      </c>
      <c r="L11" s="22">
        <f t="shared" si="1"/>
        <v>0</v>
      </c>
      <c r="M11" s="22">
        <f t="shared" si="1"/>
        <v>0</v>
      </c>
      <c r="N11" s="22">
        <f t="shared" si="1"/>
        <v>0</v>
      </c>
      <c r="O11" s="22">
        <f t="shared" si="1"/>
        <v>0</v>
      </c>
      <c r="P11" s="22">
        <f t="shared" si="1"/>
        <v>0</v>
      </c>
      <c r="Q11" s="22">
        <f t="shared" si="1"/>
        <v>0</v>
      </c>
      <c r="R11" s="22">
        <f t="shared" si="1"/>
        <v>0</v>
      </c>
      <c r="S11" s="22">
        <f t="shared" si="1"/>
        <v>0</v>
      </c>
      <c r="T11" s="22">
        <f t="shared" si="1"/>
        <v>0</v>
      </c>
      <c r="U11" s="22">
        <f t="shared" si="1"/>
        <v>0</v>
      </c>
      <c r="V11" s="22">
        <f t="shared" si="1"/>
        <v>0</v>
      </c>
      <c r="W11" s="22">
        <f t="shared" si="1"/>
        <v>0</v>
      </c>
      <c r="X11" s="22">
        <f t="shared" si="1"/>
        <v>0</v>
      </c>
      <c r="Y11" s="22">
        <f t="shared" si="1"/>
        <v>0</v>
      </c>
      <c r="Z11" s="22">
        <f t="shared" si="1"/>
        <v>0</v>
      </c>
      <c r="AA11" s="22">
        <f t="shared" si="1"/>
        <v>0</v>
      </c>
      <c r="AB11" s="22">
        <f t="shared" si="1"/>
        <v>0</v>
      </c>
      <c r="AC11" s="22">
        <f t="shared" si="1"/>
        <v>0</v>
      </c>
      <c r="AD11" s="22">
        <f t="shared" si="1"/>
        <v>0</v>
      </c>
      <c r="AE11" s="22">
        <f t="shared" si="1"/>
        <v>0</v>
      </c>
      <c r="AF11" s="22">
        <f t="shared" si="1"/>
        <v>0</v>
      </c>
      <c r="AG11" s="22">
        <f t="shared" si="1"/>
        <v>0</v>
      </c>
      <c r="AH11" s="22">
        <f t="shared" si="1"/>
        <v>0</v>
      </c>
      <c r="AI11" s="22">
        <f t="shared" si="1"/>
        <v>0</v>
      </c>
      <c r="AJ11" s="22">
        <f t="shared" si="1"/>
        <v>0</v>
      </c>
      <c r="AK11" s="22">
        <f t="shared" si="1"/>
        <v>0</v>
      </c>
      <c r="AL11" s="22">
        <f t="shared" si="1"/>
        <v>0</v>
      </c>
      <c r="AM11" s="22">
        <f t="shared" si="1"/>
        <v>0</v>
      </c>
      <c r="AN11" s="22">
        <f t="shared" si="1"/>
        <v>0</v>
      </c>
      <c r="AO11" s="22">
        <f t="shared" si="1"/>
        <v>0</v>
      </c>
      <c r="AP11" s="22">
        <f t="shared" si="1"/>
        <v>0</v>
      </c>
      <c r="AQ11" s="22">
        <f t="shared" si="1"/>
        <v>0</v>
      </c>
    </row>
    <row r="12" spans="1:43" s="42" customFormat="1" ht="24" customHeight="1" x14ac:dyDescent="0.5">
      <c r="A12" s="39"/>
      <c r="B12" s="30"/>
      <c r="C12" s="30"/>
      <c r="D12" s="30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s="42" customFormat="1" ht="25.15" customHeight="1" x14ac:dyDescent="0.5">
      <c r="A13" s="29">
        <v>3</v>
      </c>
      <c r="B13" s="30" t="s">
        <v>6</v>
      </c>
      <c r="C13" s="1">
        <v>0.7</v>
      </c>
      <c r="D13" s="1" t="s">
        <v>96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s="42" customFormat="1" ht="25.15" hidden="1" customHeight="1" x14ac:dyDescent="0.5">
      <c r="A14" s="39">
        <v>2</v>
      </c>
      <c r="B14" s="30" t="s">
        <v>5</v>
      </c>
      <c r="C14" s="1">
        <v>0.35</v>
      </c>
      <c r="D14" s="1" t="s">
        <v>98</v>
      </c>
      <c r="E14" s="29"/>
      <c r="F14" s="29"/>
      <c r="G14" s="29">
        <f t="shared" ref="G14:G21" si="2">F14*C14</f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s="42" customFormat="1" ht="25.15" hidden="1" customHeight="1" x14ac:dyDescent="0.5">
      <c r="A15" s="39">
        <v>3</v>
      </c>
      <c r="B15" s="30" t="s">
        <v>4</v>
      </c>
      <c r="C15" s="1">
        <v>0.17499999999999999</v>
      </c>
      <c r="D15" s="1" t="s">
        <v>100</v>
      </c>
      <c r="E15" s="29"/>
      <c r="F15" s="29"/>
      <c r="G15" s="29">
        <f t="shared" si="2"/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s="42" customFormat="1" ht="25.15" hidden="1" customHeight="1" x14ac:dyDescent="0.5">
      <c r="A16" s="39">
        <v>4</v>
      </c>
      <c r="B16" s="30" t="s">
        <v>3</v>
      </c>
      <c r="C16" s="1">
        <v>0.7</v>
      </c>
      <c r="D16" s="1" t="s">
        <v>96</v>
      </c>
      <c r="E16" s="29"/>
      <c r="F16" s="29"/>
      <c r="G16" s="29">
        <f t="shared" si="2"/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s="42" customFormat="1" ht="25.15" hidden="1" customHeight="1" x14ac:dyDescent="0.5">
      <c r="A17" s="39">
        <v>5</v>
      </c>
      <c r="B17" s="30" t="s">
        <v>2</v>
      </c>
      <c r="C17" s="1">
        <v>0.35</v>
      </c>
      <c r="D17" s="1" t="s">
        <v>98</v>
      </c>
      <c r="E17" s="29"/>
      <c r="F17" s="29"/>
      <c r="G17" s="29">
        <f t="shared" si="2"/>
        <v>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s="42" customFormat="1" ht="25.15" hidden="1" customHeight="1" x14ac:dyDescent="0.5">
      <c r="A18" s="39">
        <v>6</v>
      </c>
      <c r="B18" s="30" t="s">
        <v>1</v>
      </c>
      <c r="C18" s="1">
        <v>0.17499999999999999</v>
      </c>
      <c r="D18" s="1" t="s">
        <v>100</v>
      </c>
      <c r="E18" s="29"/>
      <c r="F18" s="29"/>
      <c r="G18" s="29">
        <f t="shared" si="2"/>
        <v>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s="42" customFormat="1" ht="25.15" hidden="1" customHeight="1" x14ac:dyDescent="0.5">
      <c r="A19" s="39">
        <v>7</v>
      </c>
      <c r="B19" s="30" t="s">
        <v>0</v>
      </c>
      <c r="C19" s="1">
        <v>0.7</v>
      </c>
      <c r="D19" s="1" t="s">
        <v>96</v>
      </c>
      <c r="E19" s="29"/>
      <c r="F19" s="29"/>
      <c r="G19" s="29">
        <f t="shared" si="2"/>
        <v>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s="42" customFormat="1" ht="25.15" hidden="1" customHeight="1" x14ac:dyDescent="0.5">
      <c r="A20" s="39">
        <v>8</v>
      </c>
      <c r="B20" s="30" t="s">
        <v>8</v>
      </c>
      <c r="C20" s="1">
        <v>0.7</v>
      </c>
      <c r="D20" s="1" t="s">
        <v>96</v>
      </c>
      <c r="E20" s="29"/>
      <c r="F20" s="29"/>
      <c r="G20" s="29">
        <f t="shared" si="2"/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s="42" customFormat="1" ht="25.15" hidden="1" customHeight="1" x14ac:dyDescent="0.5">
      <c r="A21" s="39">
        <v>9</v>
      </c>
      <c r="B21" s="30" t="s">
        <v>7</v>
      </c>
      <c r="C21" s="1">
        <v>0.35</v>
      </c>
      <c r="D21" s="1" t="s">
        <v>98</v>
      </c>
      <c r="E21" s="29"/>
      <c r="F21" s="29"/>
      <c r="G21" s="29">
        <f t="shared" si="2"/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s="42" customFormat="1" ht="25.15" customHeight="1" x14ac:dyDescent="0.5">
      <c r="A22" s="46"/>
      <c r="B22" s="239" t="s">
        <v>10</v>
      </c>
      <c r="C22" s="240"/>
      <c r="D22" s="241"/>
      <c r="E22" s="22">
        <f t="shared" ref="E22:F22" si="3">SUM(E13:E21)</f>
        <v>0</v>
      </c>
      <c r="F22" s="22">
        <f t="shared" si="3"/>
        <v>0</v>
      </c>
      <c r="G22" s="22">
        <f>SUM(G13:G21)</f>
        <v>0</v>
      </c>
      <c r="H22" s="22">
        <f t="shared" ref="H22:AQ22" si="4">SUM(H13:H21)</f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0</v>
      </c>
      <c r="S22" s="22">
        <f t="shared" si="4"/>
        <v>0</v>
      </c>
      <c r="T22" s="22">
        <f t="shared" si="4"/>
        <v>0</v>
      </c>
      <c r="U22" s="22">
        <f t="shared" si="4"/>
        <v>0</v>
      </c>
      <c r="V22" s="22">
        <f t="shared" si="4"/>
        <v>0</v>
      </c>
      <c r="W22" s="22">
        <f t="shared" si="4"/>
        <v>0</v>
      </c>
      <c r="X22" s="22">
        <f t="shared" si="4"/>
        <v>0</v>
      </c>
      <c r="Y22" s="22">
        <f t="shared" si="4"/>
        <v>0</v>
      </c>
      <c r="Z22" s="22">
        <f t="shared" si="4"/>
        <v>0</v>
      </c>
      <c r="AA22" s="22">
        <f t="shared" si="4"/>
        <v>0</v>
      </c>
      <c r="AB22" s="22">
        <f t="shared" si="4"/>
        <v>0</v>
      </c>
      <c r="AC22" s="22">
        <f t="shared" si="4"/>
        <v>0</v>
      </c>
      <c r="AD22" s="22">
        <f t="shared" si="4"/>
        <v>0</v>
      </c>
      <c r="AE22" s="22">
        <f t="shared" si="4"/>
        <v>0</v>
      </c>
      <c r="AF22" s="22">
        <f t="shared" si="4"/>
        <v>0</v>
      </c>
      <c r="AG22" s="22">
        <f t="shared" si="4"/>
        <v>0</v>
      </c>
      <c r="AH22" s="22">
        <f t="shared" si="4"/>
        <v>0</v>
      </c>
      <c r="AI22" s="22">
        <f t="shared" si="4"/>
        <v>0</v>
      </c>
      <c r="AJ22" s="22">
        <f t="shared" si="4"/>
        <v>0</v>
      </c>
      <c r="AK22" s="22">
        <f t="shared" si="4"/>
        <v>0</v>
      </c>
      <c r="AL22" s="22">
        <f t="shared" si="4"/>
        <v>0</v>
      </c>
      <c r="AM22" s="22">
        <f t="shared" si="4"/>
        <v>0</v>
      </c>
      <c r="AN22" s="22">
        <f t="shared" si="4"/>
        <v>0</v>
      </c>
      <c r="AO22" s="22">
        <f t="shared" si="4"/>
        <v>0</v>
      </c>
      <c r="AP22" s="22">
        <f t="shared" si="4"/>
        <v>0</v>
      </c>
      <c r="AQ22" s="22">
        <f t="shared" si="4"/>
        <v>0</v>
      </c>
    </row>
    <row r="23" spans="1:43" s="44" customFormat="1" ht="25.15" customHeight="1" x14ac:dyDescent="0.5">
      <c r="A23" s="45"/>
      <c r="B23" s="242" t="s">
        <v>49</v>
      </c>
      <c r="C23" s="243"/>
      <c r="D23" s="244"/>
      <c r="E23" s="38">
        <f t="shared" ref="E23:F23" si="5">E11+E22</f>
        <v>648</v>
      </c>
      <c r="F23" s="38">
        <f t="shared" si="5"/>
        <v>8822</v>
      </c>
      <c r="G23" s="38">
        <f>G11+G22</f>
        <v>6618.08</v>
      </c>
      <c r="H23" s="38">
        <f t="shared" ref="H23:K23" si="6">H11+H22</f>
        <v>835</v>
      </c>
      <c r="I23" s="38">
        <f t="shared" si="6"/>
        <v>11420</v>
      </c>
      <c r="J23" s="38">
        <f t="shared" si="6"/>
        <v>8972</v>
      </c>
      <c r="K23" s="38">
        <f t="shared" si="6"/>
        <v>0</v>
      </c>
      <c r="L23" s="38">
        <f>L11+L22</f>
        <v>0</v>
      </c>
      <c r="M23" s="94">
        <f t="shared" ref="M23:N23" si="7">M11+M22</f>
        <v>0</v>
      </c>
      <c r="N23" s="38">
        <f t="shared" si="7"/>
        <v>0</v>
      </c>
      <c r="O23" s="38"/>
      <c r="P23" s="37">
        <f t="shared" ref="P23:T23" si="8">P11+P22</f>
        <v>0</v>
      </c>
      <c r="Q23" s="38">
        <f t="shared" si="8"/>
        <v>0</v>
      </c>
      <c r="R23" s="38">
        <f t="shared" si="8"/>
        <v>0</v>
      </c>
      <c r="S23" s="37">
        <f t="shared" si="8"/>
        <v>0</v>
      </c>
      <c r="T23" s="38">
        <f t="shared" si="8"/>
        <v>0</v>
      </c>
      <c r="U23" s="38"/>
      <c r="V23" s="37">
        <f t="shared" ref="V23:W23" si="9">V11+V22</f>
        <v>0</v>
      </c>
      <c r="W23" s="38">
        <f t="shared" si="9"/>
        <v>0</v>
      </c>
      <c r="X23" s="38"/>
      <c r="Y23" s="37">
        <f t="shared" ref="Y23:Z23" si="10">Y11+Y22</f>
        <v>0</v>
      </c>
      <c r="Z23" s="38">
        <f t="shared" si="10"/>
        <v>0</v>
      </c>
      <c r="AA23" s="38"/>
      <c r="AB23" s="37">
        <f t="shared" ref="AB23:AC23" si="11">AB11+AB22</f>
        <v>0</v>
      </c>
      <c r="AC23" s="38">
        <f t="shared" si="11"/>
        <v>0</v>
      </c>
      <c r="AD23" s="38"/>
      <c r="AE23" s="37">
        <f t="shared" ref="AE23:AF23" si="12">AE11+AE22</f>
        <v>0</v>
      </c>
      <c r="AF23" s="38">
        <f t="shared" si="12"/>
        <v>0</v>
      </c>
      <c r="AG23" s="38"/>
      <c r="AH23" s="37">
        <f t="shared" ref="AH23:AI23" si="13">AH11+AH22</f>
        <v>0</v>
      </c>
      <c r="AI23" s="38">
        <f t="shared" si="13"/>
        <v>0</v>
      </c>
      <c r="AJ23" s="38"/>
      <c r="AK23" s="37">
        <f t="shared" ref="AK23:AL23" si="14">AK11+AK22</f>
        <v>0</v>
      </c>
      <c r="AL23" s="38">
        <f t="shared" si="14"/>
        <v>0</v>
      </c>
      <c r="AM23" s="38"/>
      <c r="AN23" s="37">
        <f t="shared" ref="AN23:AO23" si="15">AN11+AN22</f>
        <v>0</v>
      </c>
      <c r="AO23" s="38">
        <f t="shared" si="15"/>
        <v>0</v>
      </c>
      <c r="AP23" s="38"/>
      <c r="AQ23" s="37">
        <f t="shared" ref="AQ23" si="16">AQ11+AQ22</f>
        <v>0</v>
      </c>
    </row>
  </sheetData>
  <mergeCells count="20">
    <mergeCell ref="A4:A5"/>
    <mergeCell ref="B4:B5"/>
    <mergeCell ref="C4:C5"/>
    <mergeCell ref="D4:D5"/>
    <mergeCell ref="E4:G4"/>
    <mergeCell ref="AL4:AN4"/>
    <mergeCell ref="AO4:AQ4"/>
    <mergeCell ref="B11:D11"/>
    <mergeCell ref="K4:M4"/>
    <mergeCell ref="N4:P4"/>
    <mergeCell ref="Q4:S4"/>
    <mergeCell ref="T4:V4"/>
    <mergeCell ref="W4:Y4"/>
    <mergeCell ref="Z4:AB4"/>
    <mergeCell ref="H4:J4"/>
    <mergeCell ref="B22:D22"/>
    <mergeCell ref="B23:D23"/>
    <mergeCell ref="AC4:AE4"/>
    <mergeCell ref="AF4:AH4"/>
    <mergeCell ref="AI4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4-Township Summary</vt:lpstr>
      <vt:lpstr>4--Township summary</vt:lpstr>
      <vt:lpstr>4-MawLaMyaing</vt:lpstr>
      <vt:lpstr>4-Hpa-An</vt:lpstr>
      <vt:lpstr>4-Paung</vt:lpstr>
      <vt:lpstr>4-Mu Don</vt:lpstr>
      <vt:lpstr>4-ThaHtone</vt:lpstr>
      <vt:lpstr>4-KawKariek</vt:lpstr>
      <vt:lpstr>4-Yaye</vt:lpstr>
      <vt:lpstr>4-Phar Pon</vt:lpstr>
      <vt:lpstr>4-Bagoda-3</vt:lpstr>
      <vt:lpstr>4-Chang Sone</vt:lpstr>
      <vt:lpstr>4-Than Phyu Zayat</vt:lpstr>
      <vt:lpstr>Thein ZatYat</vt:lpstr>
      <vt:lpstr>'4-Township Summary'!Print_Area</vt:lpstr>
      <vt:lpstr>'4--Township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USER</cp:lastModifiedBy>
  <cp:lastPrinted>2025-02-17T03:30:19Z</cp:lastPrinted>
  <dcterms:created xsi:type="dcterms:W3CDTF">2024-12-18T07:09:44Z</dcterms:created>
  <dcterms:modified xsi:type="dcterms:W3CDTF">2026-03-18T07:54:24Z</dcterms:modified>
</cp:coreProperties>
</file>